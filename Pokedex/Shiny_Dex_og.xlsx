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aqu\git_clones\Learning\python\Projects\Pokedex\"/>
    </mc:Choice>
  </mc:AlternateContent>
  <xr:revisionPtr revIDLastSave="0" documentId="13_ncr:1_{4D0B31DD-58BA-4E9B-9406-6F830EA69753}" xr6:coauthVersionLast="47" xr6:coauthVersionMax="47" xr10:uidLastSave="{00000000-0000-0000-0000-000000000000}"/>
  <bookViews>
    <workbookView xWindow="0" yWindow="1850" windowWidth="25600" windowHeight="13160" activeTab="1" xr2:uid="{064B255E-C59F-4FFC-88DC-255D3A0E0391}"/>
  </bookViews>
  <sheets>
    <sheet name="shiny_dex" sheetId="1" r:id="rId1"/>
    <sheet name="pokedex" sheetId="3" r:id="rId2"/>
    <sheet name="googdex" sheetId="2" r:id="rId3"/>
  </sheets>
  <calcPr calcId="191029"/>
</workbook>
</file>

<file path=xl/calcChain.xml><?xml version="1.0" encoding="utf-8"?>
<calcChain xmlns="http://schemas.openxmlformats.org/spreadsheetml/2006/main">
  <c r="C906" i="2" l="1"/>
  <c r="C894" i="2"/>
  <c r="C893" i="2"/>
  <c r="C854" i="2"/>
  <c r="C850" i="2"/>
  <c r="C849" i="2"/>
  <c r="C836" i="2"/>
  <c r="C814" i="2"/>
  <c r="C813" i="2"/>
  <c r="C812" i="2"/>
  <c r="C811" i="2"/>
  <c r="C722" i="2"/>
  <c r="C719" i="2"/>
  <c r="C718" i="2"/>
  <c r="C713" i="2"/>
  <c r="C707" i="2"/>
  <c r="C706" i="2"/>
  <c r="C700" i="2"/>
  <c r="C695" i="2"/>
  <c r="C678" i="2"/>
  <c r="C668" i="2"/>
  <c r="C667" i="2"/>
  <c r="C666" i="2"/>
  <c r="C636" i="2"/>
  <c r="C628" i="2"/>
  <c r="C626" i="2"/>
  <c r="C623" i="2"/>
  <c r="C614" i="2"/>
  <c r="C596" i="2"/>
  <c r="C586" i="2"/>
  <c r="C566" i="2"/>
  <c r="C563" i="2"/>
  <c r="C555" i="2"/>
  <c r="C550" i="2"/>
  <c r="C539" i="2"/>
  <c r="C535" i="2"/>
  <c r="C531" i="2"/>
  <c r="C502" i="2"/>
  <c r="C501" i="2"/>
  <c r="C500" i="2"/>
  <c r="C492" i="2"/>
  <c r="C489" i="2"/>
  <c r="C488" i="2"/>
  <c r="C482" i="2"/>
  <c r="C479" i="2"/>
  <c r="C472" i="2"/>
  <c r="C471" i="2"/>
  <c r="C469" i="2"/>
  <c r="C460" i="2"/>
  <c r="C457" i="2"/>
  <c r="C453" i="2"/>
  <c r="C450" i="2"/>
  <c r="C449" i="2"/>
  <c r="C448" i="2"/>
  <c r="C441" i="2"/>
  <c r="C433" i="2"/>
  <c r="C432" i="2"/>
  <c r="C430" i="2"/>
  <c r="C412" i="2"/>
  <c r="C411" i="2"/>
  <c r="C410" i="2"/>
  <c r="C409" i="2"/>
  <c r="C408" i="2"/>
  <c r="C405" i="2"/>
  <c r="C403" i="2"/>
  <c r="C398" i="2"/>
  <c r="C395" i="2"/>
  <c r="C392" i="2"/>
  <c r="C389" i="2"/>
  <c r="C381" i="2"/>
  <c r="C375" i="2"/>
  <c r="C371" i="2"/>
  <c r="C368" i="2"/>
  <c r="C361" i="2"/>
  <c r="C360" i="2"/>
  <c r="C355" i="2"/>
  <c r="C345" i="2"/>
  <c r="C339" i="2"/>
  <c r="C335" i="2"/>
  <c r="C332" i="2"/>
  <c r="C324" i="2"/>
  <c r="C321" i="2"/>
  <c r="C320" i="2"/>
  <c r="C312" i="2"/>
  <c r="C299" i="2"/>
  <c r="C284" i="2"/>
  <c r="C280" i="2"/>
  <c r="C279" i="2"/>
  <c r="C278" i="2"/>
  <c r="C273" i="2"/>
  <c r="C268" i="2"/>
  <c r="C262" i="2"/>
  <c r="C258" i="2"/>
  <c r="C256" i="2"/>
  <c r="C255" i="2"/>
  <c r="C254" i="2"/>
  <c r="C251" i="2"/>
  <c r="C250" i="2"/>
  <c r="C248" i="2"/>
  <c r="C240" i="2"/>
  <c r="C238" i="2"/>
  <c r="C233" i="2"/>
  <c r="C232" i="2"/>
  <c r="C225" i="2"/>
  <c r="C221" i="2"/>
  <c r="C220" i="2"/>
  <c r="C219" i="2"/>
  <c r="C215" i="2"/>
  <c r="C211" i="2"/>
  <c r="C206" i="2"/>
  <c r="C205" i="2"/>
  <c r="C198" i="2"/>
  <c r="C197" i="2"/>
  <c r="C196" i="2"/>
  <c r="C189" i="2"/>
  <c r="C187" i="2"/>
  <c r="C186" i="2"/>
  <c r="C185" i="2"/>
  <c r="C179" i="2"/>
  <c r="C167" i="2"/>
  <c r="C165" i="2"/>
  <c r="C164" i="2"/>
  <c r="C162" i="2"/>
  <c r="C161" i="2"/>
  <c r="C160" i="2"/>
  <c r="C159" i="2"/>
  <c r="C158" i="2"/>
  <c r="C156" i="2"/>
  <c r="C148" i="2"/>
  <c r="C141" i="2"/>
  <c r="C137" i="2"/>
  <c r="C134" i="2"/>
  <c r="C133" i="2"/>
  <c r="C132" i="2"/>
  <c r="C130" i="2"/>
  <c r="C129" i="2"/>
  <c r="C125" i="2"/>
  <c r="C118" i="2"/>
  <c r="C113" i="2"/>
  <c r="C109" i="2"/>
  <c r="C106" i="2"/>
  <c r="C104" i="2"/>
  <c r="C99" i="2"/>
  <c r="C98" i="2"/>
  <c r="C97" i="2"/>
  <c r="C96" i="2"/>
  <c r="C84" i="2"/>
  <c r="C83" i="2"/>
  <c r="C82" i="2"/>
  <c r="C81" i="2"/>
  <c r="C77" i="2"/>
  <c r="C75" i="2"/>
  <c r="C73" i="2"/>
  <c r="C72" i="2"/>
  <c r="C71" i="2"/>
  <c r="C70" i="2"/>
  <c r="C60" i="2"/>
  <c r="C56" i="2"/>
  <c r="C55" i="2"/>
  <c r="C46" i="2"/>
  <c r="C45" i="2"/>
  <c r="C41" i="2"/>
  <c r="C38" i="2"/>
  <c r="C31" i="2"/>
  <c r="C30" i="2"/>
  <c r="C28" i="2"/>
  <c r="C27" i="2"/>
  <c r="C26" i="2"/>
  <c r="C19" i="2"/>
  <c r="C17" i="2"/>
  <c r="C16" i="2"/>
  <c r="C15" i="2"/>
  <c r="C14" i="2"/>
  <c r="C8" i="2"/>
  <c r="C7" i="2"/>
  <c r="C6" i="2"/>
  <c r="C5" i="2"/>
</calcChain>
</file>

<file path=xl/sharedStrings.xml><?xml version="1.0" encoding="utf-8"?>
<sst xmlns="http://schemas.openxmlformats.org/spreadsheetml/2006/main" count="10919" uniqueCount="2563">
  <si>
    <t>entryNo</t>
  </si>
  <si>
    <t>DexNo</t>
  </si>
  <si>
    <t>Pokemon</t>
  </si>
  <si>
    <t>Variation</t>
  </si>
  <si>
    <t>Form</t>
  </si>
  <si>
    <t>OriginalGame</t>
  </si>
  <si>
    <t>Location</t>
  </si>
  <si>
    <t>DateOfCapture</t>
  </si>
  <si>
    <t>Method</t>
  </si>
  <si>
    <t>Nickname</t>
  </si>
  <si>
    <t>Nature</t>
  </si>
  <si>
    <t>Ball</t>
  </si>
  <si>
    <t>Encounters</t>
  </si>
  <si>
    <t>Description</t>
  </si>
  <si>
    <t>Trainer</t>
  </si>
  <si>
    <t>Charmander</t>
  </si>
  <si>
    <t>Pokemon Go</t>
  </si>
  <si>
    <t>Boston - MA</t>
  </si>
  <si>
    <t>Community Day</t>
  </si>
  <si>
    <t>Modest</t>
  </si>
  <si>
    <t>Tonii</t>
  </si>
  <si>
    <t>Charmeleon</t>
  </si>
  <si>
    <t>Serious</t>
  </si>
  <si>
    <t>Charizard</t>
  </si>
  <si>
    <t>Charlotte</t>
  </si>
  <si>
    <t>Calm</t>
  </si>
  <si>
    <t>Squirtle</t>
  </si>
  <si>
    <t>Dracut - MA</t>
  </si>
  <si>
    <t>Spotlight Hour</t>
  </si>
  <si>
    <t>Wartortle</t>
  </si>
  <si>
    <t>Poke ball</t>
  </si>
  <si>
    <t>Weedle</t>
  </si>
  <si>
    <t>West Boyleston - MA</t>
  </si>
  <si>
    <t>getUHigh</t>
  </si>
  <si>
    <t>Adamant</t>
  </si>
  <si>
    <t>Kakuna</t>
  </si>
  <si>
    <t>Hakuna</t>
  </si>
  <si>
    <t>Sassy</t>
  </si>
  <si>
    <t>Beedrill</t>
  </si>
  <si>
    <t>Buzzy</t>
  </si>
  <si>
    <t>Careful</t>
  </si>
  <si>
    <t>Pidgey</t>
  </si>
  <si>
    <t>Unknown</t>
  </si>
  <si>
    <t>Random Encounters</t>
  </si>
  <si>
    <t>Pidgeot</t>
  </si>
  <si>
    <t>Raytheon - Andover - MA</t>
  </si>
  <si>
    <t>GeeSix</t>
  </si>
  <si>
    <t>Quirky</t>
  </si>
  <si>
    <t>Pikachu</t>
  </si>
  <si>
    <t>Sword</t>
  </si>
  <si>
    <t>Raid Den</t>
  </si>
  <si>
    <t>Raid Den Event</t>
  </si>
  <si>
    <t>Chonkachu</t>
  </si>
  <si>
    <t>Timid</t>
  </si>
  <si>
    <t>Hooked up by Big Panda in a raid den for the CHONK.. ON POKEMON DAY!</t>
  </si>
  <si>
    <t>Raichu</t>
  </si>
  <si>
    <t>MAT</t>
  </si>
  <si>
    <t>Bold</t>
  </si>
  <si>
    <t>MAT: Michelle - Antonia - Trish #friendshipRaichus</t>
  </si>
  <si>
    <t>Alolan</t>
  </si>
  <si>
    <t>Ultra Sun</t>
  </si>
  <si>
    <t>Route 1</t>
  </si>
  <si>
    <t>SOS Chaining</t>
  </si>
  <si>
    <t>Pancake</t>
  </si>
  <si>
    <t>Relaxed</t>
  </si>
  <si>
    <t>My first SOS chain :)</t>
  </si>
  <si>
    <t>Sandslash</t>
  </si>
  <si>
    <t>Deyermond Baseball Field - Andover - MA</t>
  </si>
  <si>
    <t>Shiva</t>
  </si>
  <si>
    <t>Docile</t>
  </si>
  <si>
    <t>X</t>
  </si>
  <si>
    <t>Hoard Encounters</t>
  </si>
  <si>
    <t>Knuckles</t>
  </si>
  <si>
    <t>Brave</t>
  </si>
  <si>
    <t>Clefairy</t>
  </si>
  <si>
    <t>Wanda</t>
  </si>
  <si>
    <t>Ninetales</t>
  </si>
  <si>
    <t>Let's Go Eevee</t>
  </si>
  <si>
    <t>Route 6</t>
  </si>
  <si>
    <t>Catch Combo</t>
  </si>
  <si>
    <t>Mozilla</t>
  </si>
  <si>
    <t>Lonely</t>
  </si>
  <si>
    <t>Golbat</t>
  </si>
  <si>
    <t>Lima</t>
  </si>
  <si>
    <t>Oddish</t>
  </si>
  <si>
    <t>Alpha Sapphire</t>
  </si>
  <si>
    <t>Route 120</t>
  </si>
  <si>
    <t>Bud</t>
  </si>
  <si>
    <t>Meowth</t>
  </si>
  <si>
    <t>Parker Street - Lowell - MA</t>
  </si>
  <si>
    <t>Melo</t>
  </si>
  <si>
    <t>Quiet</t>
  </si>
  <si>
    <t xml:space="preserve">Meowth </t>
  </si>
  <si>
    <t>Leah</t>
  </si>
  <si>
    <t>Impish</t>
  </si>
  <si>
    <t>Mankey</t>
  </si>
  <si>
    <t>Spanky</t>
  </si>
  <si>
    <t>Naive</t>
  </si>
  <si>
    <t>Machop</t>
  </si>
  <si>
    <t>Fairfield Street - Lowell - MA</t>
  </si>
  <si>
    <t>Machoke</t>
  </si>
  <si>
    <t>Naughty</t>
  </si>
  <si>
    <t>Machamp</t>
  </si>
  <si>
    <t>South Lake Miloch</t>
  </si>
  <si>
    <t>Shrek</t>
  </si>
  <si>
    <t>Jolly</t>
  </si>
  <si>
    <t>MY OLD APP ERASED THE ENCOUNTERES FOR THIS MON!! I spent months looking for a little Machop to name Shrek.. all so that I could yell lines like: "GET SHREKED!" and "WHAT ARE YOU DOING IN MY SWAMP!?" Worth iiiiit</t>
  </si>
  <si>
    <t>Bellsprout</t>
  </si>
  <si>
    <t>Chelmsford MA</t>
  </si>
  <si>
    <t>Victreebel</t>
  </si>
  <si>
    <t>Viridian Forrest</t>
  </si>
  <si>
    <t>Eggplant</t>
  </si>
  <si>
    <t>Tentacruel</t>
  </si>
  <si>
    <t>Legends of Arceus</t>
  </si>
  <si>
    <t>Cobalt Coastlands</t>
  </si>
  <si>
    <t>Mass Outbreaks</t>
  </si>
  <si>
    <t>Squidward</t>
  </si>
  <si>
    <t>Gentle</t>
  </si>
  <si>
    <t>Ponyta</t>
  </si>
  <si>
    <t>Horseshoe Plains</t>
  </si>
  <si>
    <t>Random Encounter</t>
  </si>
  <si>
    <t>Rapidash</t>
  </si>
  <si>
    <t>Gift</t>
  </si>
  <si>
    <t>Pie O My</t>
  </si>
  <si>
    <t>Hardy</t>
  </si>
  <si>
    <t>Slowpoke</t>
  </si>
  <si>
    <t>Pokey</t>
  </si>
  <si>
    <t xml:space="preserve">Slowbro </t>
  </si>
  <si>
    <t>Galarian</t>
  </si>
  <si>
    <t>Fields of Honor</t>
  </si>
  <si>
    <t>Battle Method</t>
  </si>
  <si>
    <t>Stoopid</t>
  </si>
  <si>
    <t>Mild</t>
  </si>
  <si>
    <t>Gastly</t>
  </si>
  <si>
    <t>Haunter</t>
  </si>
  <si>
    <t>Gengar</t>
  </si>
  <si>
    <t>Event</t>
  </si>
  <si>
    <t>Bashful</t>
  </si>
  <si>
    <t>Onix</t>
  </si>
  <si>
    <t>Snekk</t>
  </si>
  <si>
    <t>Voltorb</t>
  </si>
  <si>
    <t>Boomer</t>
  </si>
  <si>
    <t>Exeggcute</t>
  </si>
  <si>
    <t>Eggwardo</t>
  </si>
  <si>
    <t xml:space="preserve">Marowak </t>
  </si>
  <si>
    <t>Bones</t>
  </si>
  <si>
    <t>Koffing</t>
  </si>
  <si>
    <t>Broncioli</t>
  </si>
  <si>
    <t>Tangela</t>
  </si>
  <si>
    <t>Gardner - MA</t>
  </si>
  <si>
    <t>Starmie</t>
  </si>
  <si>
    <t>Chain Fishing</t>
  </si>
  <si>
    <t>Europa</t>
  </si>
  <si>
    <t>a marvelous gift from Michelle &lt;3</t>
  </si>
  <si>
    <t>Electabuzz</t>
  </si>
  <si>
    <t>Magmar</t>
  </si>
  <si>
    <t>Margret</t>
  </si>
  <si>
    <t>Tauros</t>
  </si>
  <si>
    <t>Rash</t>
  </si>
  <si>
    <t>Magikarp</t>
  </si>
  <si>
    <t>MerJerKerp</t>
  </si>
  <si>
    <t>Gyarados</t>
  </si>
  <si>
    <t>SoulSilver</t>
  </si>
  <si>
    <t>Lake of Rage</t>
  </si>
  <si>
    <t>Joshua</t>
  </si>
  <si>
    <t>Eevee</t>
  </si>
  <si>
    <t>Nashua NH</t>
  </si>
  <si>
    <t>Porygon</t>
  </si>
  <si>
    <t>Ezra</t>
  </si>
  <si>
    <t>Articuno</t>
  </si>
  <si>
    <t>Raid Battle</t>
  </si>
  <si>
    <t>Mento</t>
  </si>
  <si>
    <t>Chikorita</t>
  </si>
  <si>
    <t>Soulsilver</t>
  </si>
  <si>
    <t>New Bark Town</t>
  </si>
  <si>
    <t>Soft Resets</t>
  </si>
  <si>
    <t>Chico</t>
  </si>
  <si>
    <t>Meganium</t>
  </si>
  <si>
    <t>HeartGold</t>
  </si>
  <si>
    <t>Cecil</t>
  </si>
  <si>
    <t>Cyndaquil</t>
  </si>
  <si>
    <t>Sir Acha</t>
  </si>
  <si>
    <t>Quilava</t>
  </si>
  <si>
    <t>Tinder</t>
  </si>
  <si>
    <t>Typhlosion</t>
  </si>
  <si>
    <t>Tyson</t>
  </si>
  <si>
    <t>Totodile</t>
  </si>
  <si>
    <t>Toto</t>
  </si>
  <si>
    <t>Feraligatr</t>
  </si>
  <si>
    <t>Fergalatr</t>
  </si>
  <si>
    <t>needs nickname</t>
  </si>
  <si>
    <t>Sentret</t>
  </si>
  <si>
    <t>Hoothoot</t>
  </si>
  <si>
    <t>Friend Safari</t>
  </si>
  <si>
    <t>Sashoo</t>
  </si>
  <si>
    <t>Togepi</t>
  </si>
  <si>
    <t>Crystal</t>
  </si>
  <si>
    <t>DV Method</t>
  </si>
  <si>
    <t>Pascal</t>
  </si>
  <si>
    <t>Ampharos</t>
  </si>
  <si>
    <t>Shining Pearl</t>
  </si>
  <si>
    <t>Route 222</t>
  </si>
  <si>
    <t>Radar Method</t>
  </si>
  <si>
    <t>Fluffy</t>
  </si>
  <si>
    <t>Bellossom</t>
  </si>
  <si>
    <t>Horde Encounters</t>
  </si>
  <si>
    <t>Bella</t>
  </si>
  <si>
    <t>Marill</t>
  </si>
  <si>
    <t>Route 117</t>
  </si>
  <si>
    <t>Sudowoodo</t>
  </si>
  <si>
    <t>PickleLizard</t>
  </si>
  <si>
    <t>Sunflora</t>
  </si>
  <si>
    <t>Lexington - MA</t>
  </si>
  <si>
    <t>Sunny</t>
  </si>
  <si>
    <t>Yanma</t>
  </si>
  <si>
    <t>Laurette</t>
  </si>
  <si>
    <t>Wooper</t>
  </si>
  <si>
    <t>Whopper</t>
  </si>
  <si>
    <t>Unown</t>
  </si>
  <si>
    <t>g</t>
  </si>
  <si>
    <t>Wobbuffet</t>
  </si>
  <si>
    <t>Lake Verity</t>
  </si>
  <si>
    <t>Purp</t>
  </si>
  <si>
    <t>Gligar</t>
  </si>
  <si>
    <t>Holden MA</t>
  </si>
  <si>
    <t>Qwilfish</t>
  </si>
  <si>
    <t>Mrs. Puff</t>
  </si>
  <si>
    <t>Sneasel</t>
  </si>
  <si>
    <t>A gift from Danzel</t>
  </si>
  <si>
    <t xml:space="preserve">Sneasel </t>
  </si>
  <si>
    <t>Hisuin</t>
  </si>
  <si>
    <t>Alabaster Icelands</t>
  </si>
  <si>
    <t>Beta</t>
  </si>
  <si>
    <t>Teddiursa</t>
  </si>
  <si>
    <t>Bearry</t>
  </si>
  <si>
    <t>Swinub</t>
  </si>
  <si>
    <t>Bonechill Wastes</t>
  </si>
  <si>
    <t>Skarmory</t>
  </si>
  <si>
    <t>Rusty</t>
  </si>
  <si>
    <t>Houndour</t>
  </si>
  <si>
    <t>Porygon2</t>
  </si>
  <si>
    <t>Sassafras</t>
  </si>
  <si>
    <t>Smeargle</t>
  </si>
  <si>
    <t>Billerica - MA</t>
  </si>
  <si>
    <t>Bagel</t>
  </si>
  <si>
    <t>Raikou</t>
  </si>
  <si>
    <t>Ultra Worm Hole</t>
  </si>
  <si>
    <t>Ultra Space Wilds</t>
  </si>
  <si>
    <t>Suicune</t>
  </si>
  <si>
    <t>Larvitar</t>
  </si>
  <si>
    <t>Black</t>
  </si>
  <si>
    <t>Lugia</t>
  </si>
  <si>
    <t>Max Lair</t>
  </si>
  <si>
    <t>Dynamax Adventures</t>
  </si>
  <si>
    <t>Sterling</t>
  </si>
  <si>
    <t>Ho-Oh</t>
  </si>
  <si>
    <t>Waltham - MA</t>
  </si>
  <si>
    <t>Rose</t>
  </si>
  <si>
    <t>Lax</t>
  </si>
  <si>
    <t>Celebi</t>
  </si>
  <si>
    <t>Rhubarb</t>
  </si>
  <si>
    <t>I caught this baddie on my porch :)</t>
  </si>
  <si>
    <t>Grovyle</t>
  </si>
  <si>
    <t>Route 101</t>
  </si>
  <si>
    <t>Cayman</t>
  </si>
  <si>
    <t>Blaziken</t>
  </si>
  <si>
    <t>Boch</t>
  </si>
  <si>
    <t>Hasty</t>
  </si>
  <si>
    <t>Zigzagoon</t>
  </si>
  <si>
    <t>Bonnie</t>
  </si>
  <si>
    <t>Wurmple</t>
  </si>
  <si>
    <t>Lawrence - MA</t>
  </si>
  <si>
    <t>NA</t>
  </si>
  <si>
    <t>Cascoon</t>
  </si>
  <si>
    <t>Seedot</t>
  </si>
  <si>
    <t>Nuzleaf</t>
  </si>
  <si>
    <t>Shiftry</t>
  </si>
  <si>
    <t>Pelipper</t>
  </si>
  <si>
    <t>Route 8</t>
  </si>
  <si>
    <t>Kevin</t>
  </si>
  <si>
    <t>I had Mary name this bad boi after finding it on a psuedo SBQ. Kevin is a girl #up</t>
  </si>
  <si>
    <t>Loudred</t>
  </si>
  <si>
    <t>Sonos</t>
  </si>
  <si>
    <t>Meditite</t>
  </si>
  <si>
    <t>Roselia</t>
  </si>
  <si>
    <t>Gulpin</t>
  </si>
  <si>
    <t>Route 5</t>
  </si>
  <si>
    <t>Blorp</t>
  </si>
  <si>
    <t>Sharpedo</t>
  </si>
  <si>
    <t>Lexington MA</t>
  </si>
  <si>
    <t>Sharknado</t>
  </si>
  <si>
    <t>Spinda</t>
  </si>
  <si>
    <t>Route 113</t>
  </si>
  <si>
    <t>Stonii</t>
  </si>
  <si>
    <t>Flygon</t>
  </si>
  <si>
    <t>Ella</t>
  </si>
  <si>
    <t>Altaria</t>
  </si>
  <si>
    <t>Route 114</t>
  </si>
  <si>
    <t>Nimbus</t>
  </si>
  <si>
    <t>Whiscash</t>
  </si>
  <si>
    <t>Flip</t>
  </si>
  <si>
    <t>Milotic</t>
  </si>
  <si>
    <t>Route 119</t>
  </si>
  <si>
    <t>Mylo</t>
  </si>
  <si>
    <t>Duskull</t>
  </si>
  <si>
    <t>Mt. Pyre</t>
  </si>
  <si>
    <t>Smoggly</t>
  </si>
  <si>
    <t>Dusclops</t>
  </si>
  <si>
    <t>Chelmsford - MA</t>
  </si>
  <si>
    <t>Community day</t>
  </si>
  <si>
    <t>Spookly</t>
  </si>
  <si>
    <t>Spheal</t>
  </si>
  <si>
    <t>Lisa</t>
  </si>
  <si>
    <t>Clamperl</t>
  </si>
  <si>
    <t>Route 12</t>
  </si>
  <si>
    <t>no nickname</t>
  </si>
  <si>
    <t>Luvdisc</t>
  </si>
  <si>
    <t>Ever Grande City</t>
  </si>
  <si>
    <t>Luvlee</t>
  </si>
  <si>
    <t>Metagross</t>
  </si>
  <si>
    <t>Rayquaza</t>
  </si>
  <si>
    <t>Galileo</t>
  </si>
  <si>
    <t>Turtwig</t>
  </si>
  <si>
    <t>Chimchar</t>
  </si>
  <si>
    <t>Piplup</t>
  </si>
  <si>
    <t>Staraptor</t>
  </si>
  <si>
    <t>Ace</t>
  </si>
  <si>
    <t>Bibarel</t>
  </si>
  <si>
    <t>Chuck</t>
  </si>
  <si>
    <t>Shinx</t>
  </si>
  <si>
    <t>Luxio</t>
  </si>
  <si>
    <t>Luxray</t>
  </si>
  <si>
    <t>Budew</t>
  </si>
  <si>
    <t>Fabled Spring</t>
  </si>
  <si>
    <t>Roserade</t>
  </si>
  <si>
    <t>Axl</t>
  </si>
  <si>
    <t>Drifloon</t>
  </si>
  <si>
    <t>Cello</t>
  </si>
  <si>
    <t>Buneary</t>
  </si>
  <si>
    <t>Mini</t>
  </si>
  <si>
    <t>Lopunny</t>
  </si>
  <si>
    <t>Hugh</t>
  </si>
  <si>
    <t>Bronzor</t>
  </si>
  <si>
    <t>Gible</t>
  </si>
  <si>
    <t>Shark Boy</t>
  </si>
  <si>
    <t>Gabite</t>
  </si>
  <si>
    <t>Garchomp</t>
  </si>
  <si>
    <t>Landshark</t>
  </si>
  <si>
    <t>Lucario</t>
  </si>
  <si>
    <t>Poni Grove</t>
  </si>
  <si>
    <t>Lucca</t>
  </si>
  <si>
    <t>Second SOS chain ever! In honor of Max</t>
  </si>
  <si>
    <t>Drapion</t>
  </si>
  <si>
    <t>Ultra Wormhole</t>
  </si>
  <si>
    <t>Carnivine</t>
  </si>
  <si>
    <t>Crimson Mirelands</t>
  </si>
  <si>
    <t>Cermet</t>
  </si>
  <si>
    <t>Rhyperior</t>
  </si>
  <si>
    <t>Electivire</t>
  </si>
  <si>
    <t>Magmortar</t>
  </si>
  <si>
    <t>Morty</t>
  </si>
  <si>
    <t>Porygon-Z</t>
  </si>
  <si>
    <t>Zazzafraz</t>
  </si>
  <si>
    <t>Dusknoir</t>
  </si>
  <si>
    <t>Dialga</t>
  </si>
  <si>
    <t>Black 2</t>
  </si>
  <si>
    <t>Palkia</t>
  </si>
  <si>
    <t>Giratina</t>
  </si>
  <si>
    <t>Snivy</t>
  </si>
  <si>
    <t>Fort Lauderdale - FL</t>
  </si>
  <si>
    <t>Servine</t>
  </si>
  <si>
    <t>Serperior</t>
  </si>
  <si>
    <t>Gigalith</t>
  </si>
  <si>
    <t>Reflection Cave</t>
  </si>
  <si>
    <t>Giggles</t>
  </si>
  <si>
    <t>Excadrill</t>
  </si>
  <si>
    <t>Dusty Bowl</t>
  </si>
  <si>
    <t>Daveed</t>
  </si>
  <si>
    <t>Conkeldurr</t>
  </si>
  <si>
    <t>Victory Road</t>
  </si>
  <si>
    <t>Conkles</t>
  </si>
  <si>
    <t>Scolipede</t>
  </si>
  <si>
    <t>Basculin</t>
  </si>
  <si>
    <t>Carole</t>
  </si>
  <si>
    <t>Crustle</t>
  </si>
  <si>
    <t>Fubaleve</t>
  </si>
  <si>
    <t>Found this hoe while the IBS was getting the best of me.. lol</t>
  </si>
  <si>
    <t>Sigilyph</t>
  </si>
  <si>
    <t>Swanna</t>
  </si>
  <si>
    <t>Elizabeth</t>
  </si>
  <si>
    <t>Amoongus</t>
  </si>
  <si>
    <t>Chandelure</t>
  </si>
  <si>
    <t>Lumiere</t>
  </si>
  <si>
    <t>Stunfisk</t>
  </si>
  <si>
    <t>Druddigon</t>
  </si>
  <si>
    <t>Snowside Slope</t>
  </si>
  <si>
    <t>Fabio</t>
  </si>
  <si>
    <t>Golurk</t>
  </si>
  <si>
    <t>Heatmor</t>
  </si>
  <si>
    <t>West Boylston - MA</t>
  </si>
  <si>
    <t>Fletchling</t>
  </si>
  <si>
    <t>Fletchinder</t>
  </si>
  <si>
    <t>Talonflame</t>
  </si>
  <si>
    <t>Gogoat</t>
  </si>
  <si>
    <t>Gotye</t>
  </si>
  <si>
    <t>Skrelp</t>
  </si>
  <si>
    <t>Mystery</t>
  </si>
  <si>
    <t>A gift from Sea-Shelly</t>
  </si>
  <si>
    <t>Heliolisk</t>
  </si>
  <si>
    <t>Nacho</t>
  </si>
  <si>
    <t>Hawlucha</t>
  </si>
  <si>
    <t>Masuda Method</t>
  </si>
  <si>
    <t>Simon</t>
  </si>
  <si>
    <t>Dedenne</t>
  </si>
  <si>
    <t>Lucy</t>
  </si>
  <si>
    <t>Phantump</t>
  </si>
  <si>
    <t>Logan</t>
  </si>
  <si>
    <t>Avalugg</t>
  </si>
  <si>
    <t>Berg</t>
  </si>
  <si>
    <t>Noibat</t>
  </si>
  <si>
    <t>Echo</t>
  </si>
  <si>
    <t>Yveltal</t>
  </si>
  <si>
    <t>Blacephalon</t>
  </si>
  <si>
    <t>Le Disko</t>
  </si>
  <si>
    <t>WHAT a shorter hunt than I expected #diskoball</t>
  </si>
  <si>
    <t>Zeraora</t>
  </si>
  <si>
    <t>Meltan</t>
  </si>
  <si>
    <t>Dan</t>
  </si>
  <si>
    <t>Melmetal</t>
  </si>
  <si>
    <t>McAlloy</t>
  </si>
  <si>
    <t>Wooloo</t>
  </si>
  <si>
    <t>Woohoo</t>
  </si>
  <si>
    <t>Sandaconda</t>
  </si>
  <si>
    <t>Darude</t>
  </si>
  <si>
    <t>Cramorant</t>
  </si>
  <si>
    <t>Wing[]Ding</t>
  </si>
  <si>
    <t>Toxtricity</t>
  </si>
  <si>
    <t>Zacian</t>
  </si>
  <si>
    <t>Shield</t>
  </si>
  <si>
    <t>Zamazenta</t>
  </si>
  <si>
    <t>Ursulana</t>
  </si>
  <si>
    <t>Luna</t>
  </si>
  <si>
    <t>Region</t>
  </si>
  <si>
    <t>Gen</t>
  </si>
  <si>
    <t>Type 1</t>
  </si>
  <si>
    <t>Type 2</t>
  </si>
  <si>
    <t>Evolution</t>
  </si>
  <si>
    <t>Kanto</t>
  </si>
  <si>
    <t>I</t>
  </si>
  <si>
    <t>Bulbasaur</t>
  </si>
  <si>
    <t>Grass</t>
  </si>
  <si>
    <t>Poison</t>
  </si>
  <si>
    <t>Yes</t>
  </si>
  <si>
    <t>Ivysaur</t>
  </si>
  <si>
    <t>Fire</t>
  </si>
  <si>
    <t>-</t>
  </si>
  <si>
    <t>Flying</t>
  </si>
  <si>
    <t>Water</t>
  </si>
  <si>
    <t>Blastoise</t>
  </si>
  <si>
    <t>Caterpie</t>
  </si>
  <si>
    <t>Bug</t>
  </si>
  <si>
    <t>Metapod</t>
  </si>
  <si>
    <t>Normal</t>
  </si>
  <si>
    <t>Pidgeotto</t>
  </si>
  <si>
    <t>Alolan Rattata</t>
  </si>
  <si>
    <t>Dark</t>
  </si>
  <si>
    <t>Alolan Raticate</t>
  </si>
  <si>
    <t>Spearow</t>
  </si>
  <si>
    <t>Fearow</t>
  </si>
  <si>
    <t>Ekans</t>
  </si>
  <si>
    <t>Arbok</t>
  </si>
  <si>
    <t>Electric</t>
  </si>
  <si>
    <t>Original Cap Pikachu</t>
  </si>
  <si>
    <t>Hoenn Cap Pikachu</t>
  </si>
  <si>
    <t>Sinnoh Cap Pikachu</t>
  </si>
  <si>
    <t>Unova Cap Pikachu</t>
  </si>
  <si>
    <t>Kalos Cap Pikachu</t>
  </si>
  <si>
    <t>Alola Cap Pikachu</t>
  </si>
  <si>
    <t>Partner Cap Pikachu</t>
  </si>
  <si>
    <t>World Cap Pikachu</t>
  </si>
  <si>
    <t>Alolan Raichu</t>
  </si>
  <si>
    <t>Psychic</t>
  </si>
  <si>
    <t>Sandshrew</t>
  </si>
  <si>
    <t>Ground</t>
  </si>
  <si>
    <t>Alolan Sandshrew</t>
  </si>
  <si>
    <t>Ice</t>
  </si>
  <si>
    <t>Steel</t>
  </si>
  <si>
    <t>Alolan Sandslash</t>
  </si>
  <si>
    <t>Nidoran♀</t>
  </si>
  <si>
    <t>Nidorina</t>
  </si>
  <si>
    <t>Nidoqueen</t>
  </si>
  <si>
    <t>Nidoran♂</t>
  </si>
  <si>
    <t>Nidorino</t>
  </si>
  <si>
    <t>Nidoking</t>
  </si>
  <si>
    <t>Fairy</t>
  </si>
  <si>
    <t>Clefable</t>
  </si>
  <si>
    <t>Vulpix</t>
  </si>
  <si>
    <t>Alolan Vulpix</t>
  </si>
  <si>
    <t>Alolan Ninetales</t>
  </si>
  <si>
    <t>Jigglypuff</t>
  </si>
  <si>
    <t>Wigglytuff</t>
  </si>
  <si>
    <t>Paras</t>
  </si>
  <si>
    <t>Parasect</t>
  </si>
  <si>
    <t>Venonat</t>
  </si>
  <si>
    <t>Venomoth</t>
  </si>
  <si>
    <t>Diglett</t>
  </si>
  <si>
    <t>Alolan Diglett</t>
  </si>
  <si>
    <t>Dugtrio</t>
  </si>
  <si>
    <t>Alolan Dugtrio</t>
  </si>
  <si>
    <t>Alolan Meowth</t>
  </si>
  <si>
    <t>Galarian Meowth</t>
  </si>
  <si>
    <t>Persian</t>
  </si>
  <si>
    <t>Alolan Persian</t>
  </si>
  <si>
    <t>Psyduck</t>
  </si>
  <si>
    <t>Golduck</t>
  </si>
  <si>
    <t>Fighting</t>
  </si>
  <si>
    <t>Primeape</t>
  </si>
  <si>
    <t>Growlithe</t>
  </si>
  <si>
    <t>Hisuian Growlithe</t>
  </si>
  <si>
    <t>Rock</t>
  </si>
  <si>
    <t>Arcanine</t>
  </si>
  <si>
    <t>Hisuian Arcanine</t>
  </si>
  <si>
    <t>Poliwag</t>
  </si>
  <si>
    <t>Poliwhirl</t>
  </si>
  <si>
    <t>Poliwrath</t>
  </si>
  <si>
    <t>Abra</t>
  </si>
  <si>
    <t>Weepinbell</t>
  </si>
  <si>
    <t>Tentacool</t>
  </si>
  <si>
    <t>Geodude</t>
  </si>
  <si>
    <t>Alolan Geodude</t>
  </si>
  <si>
    <t>Graveler</t>
  </si>
  <si>
    <t>Alolan Graveler</t>
  </si>
  <si>
    <t>Golem</t>
  </si>
  <si>
    <t>Alolan Golem</t>
  </si>
  <si>
    <t>Galarian Ponyta</t>
  </si>
  <si>
    <t>Galarian Rapidash</t>
  </si>
  <si>
    <t>Galarian Slowpoke</t>
  </si>
  <si>
    <t>Slowbro</t>
  </si>
  <si>
    <t>Galarian Slowbro</t>
  </si>
  <si>
    <t>Magnemite</t>
  </si>
  <si>
    <t>Magneton</t>
  </si>
  <si>
    <t>Farfetch’d</t>
  </si>
  <si>
    <t>No</t>
  </si>
  <si>
    <t>Galarian Farfetch’d</t>
  </si>
  <si>
    <t>Seel</t>
  </si>
  <si>
    <t>Dewgong</t>
  </si>
  <si>
    <t>Grimer</t>
  </si>
  <si>
    <t>Alolan Grimer</t>
  </si>
  <si>
    <t>Muk</t>
  </si>
  <si>
    <t>Alolan Muk</t>
  </si>
  <si>
    <t>Shellder</t>
  </si>
  <si>
    <t>Cloyster</t>
  </si>
  <si>
    <t>Ghost</t>
  </si>
  <si>
    <t>Drowzee</t>
  </si>
  <si>
    <t>Krabby</t>
  </si>
  <si>
    <t>Kingler</t>
  </si>
  <si>
    <t>Hisuian Voltorb</t>
  </si>
  <si>
    <t>Electrode</t>
  </si>
  <si>
    <t>Hisuian Electrode</t>
  </si>
  <si>
    <t>Exeggutor</t>
  </si>
  <si>
    <t>Alolan Exeggutor</t>
  </si>
  <si>
    <t>Dragon</t>
  </si>
  <si>
    <t>Cubone</t>
  </si>
  <si>
    <t>Marowak</t>
  </si>
  <si>
    <t>Alolan Marowak</t>
  </si>
  <si>
    <t>Hitmonlee</t>
  </si>
  <si>
    <t>Hitmonchan</t>
  </si>
  <si>
    <t>Lickitung</t>
  </si>
  <si>
    <t>Weezing</t>
  </si>
  <si>
    <t>Galarian Weezing</t>
  </si>
  <si>
    <t>Chansey</t>
  </si>
  <si>
    <t>Kangaskhan</t>
  </si>
  <si>
    <t>Horsea</t>
  </si>
  <si>
    <t>Seadra</t>
  </si>
  <si>
    <t>Staryu</t>
  </si>
  <si>
    <t>Mr. Mime</t>
  </si>
  <si>
    <t>Galarian Mr. Mime</t>
  </si>
  <si>
    <t>Jynx</t>
  </si>
  <si>
    <t>Pinsir</t>
  </si>
  <si>
    <t>Paldean Tauros Combat Breed</t>
  </si>
  <si>
    <t>Paldean Tauros Blaze Breed</t>
  </si>
  <si>
    <t>Paldean Tauros Aqua Breed</t>
  </si>
  <si>
    <t>Lapras</t>
  </si>
  <si>
    <t>Ditto</t>
  </si>
  <si>
    <t>Vaporeon</t>
  </si>
  <si>
    <t>Jolteon</t>
  </si>
  <si>
    <t>Flareon</t>
  </si>
  <si>
    <t>Omanyte</t>
  </si>
  <si>
    <t>Omastar</t>
  </si>
  <si>
    <t>Kabuto</t>
  </si>
  <si>
    <t>Kabutops</t>
  </si>
  <si>
    <t>Aerodactyl</t>
  </si>
  <si>
    <t>Snorlax</t>
  </si>
  <si>
    <t>Galarian Articuno</t>
  </si>
  <si>
    <t>Zapdos</t>
  </si>
  <si>
    <t>Galarian Zapdos</t>
  </si>
  <si>
    <t>Moltres</t>
  </si>
  <si>
    <t>Galarian Moltres</t>
  </si>
  <si>
    <t>Dratini</t>
  </si>
  <si>
    <t>Dragonair</t>
  </si>
  <si>
    <t>Dragonite</t>
  </si>
  <si>
    <t>Mewtwo</t>
  </si>
  <si>
    <t>Mew</t>
  </si>
  <si>
    <t>Johto</t>
  </si>
  <si>
    <t>II</t>
  </si>
  <si>
    <t>Bayleef</t>
  </si>
  <si>
    <t>Hisuian Typhlosion</t>
  </si>
  <si>
    <t>Croconaw</t>
  </si>
  <si>
    <t>Furret</t>
  </si>
  <si>
    <t>Noctowl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</si>
  <si>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</si>
  <si>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</si>
  <si>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</si>
  <si>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</si>
  <si>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</si>
  <si>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</si>
  <si>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</si>
  <si>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</si>
  <si>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Togetic</t>
  </si>
  <si>
    <t>Natu</t>
  </si>
  <si>
    <t>Mareep</t>
  </si>
  <si>
    <t>Flaaffy</t>
  </si>
  <si>
    <t>Azumarill</t>
  </si>
  <si>
    <t>Hoppip</t>
  </si>
  <si>
    <t>Skiploom</t>
  </si>
  <si>
    <t>Jumpluff</t>
  </si>
  <si>
    <t>Sunkern</t>
  </si>
  <si>
    <t>Paldean Wooper</t>
  </si>
  <si>
    <t>Espeon</t>
  </si>
  <si>
    <t>Umbreon</t>
  </si>
  <si>
    <t>Slowking</t>
  </si>
  <si>
    <t>Galarian Slowking</t>
  </si>
  <si>
    <t>Misdreavus</t>
  </si>
  <si>
    <t>Unown-B</t>
  </si>
  <si>
    <t>Unown-C</t>
  </si>
  <si>
    <t>Unown-D</t>
  </si>
  <si>
    <t>Unown-E</t>
  </si>
  <si>
    <t>Unown-F</t>
  </si>
  <si>
    <t>Unown-G</t>
  </si>
  <si>
    <t>Unown-H</t>
  </si>
  <si>
    <t>Unown-I</t>
  </si>
  <si>
    <t>Unown-J</t>
  </si>
  <si>
    <t>Unown-K</t>
  </si>
  <si>
    <t>Unown-L</t>
  </si>
  <si>
    <t>Unown-M</t>
  </si>
  <si>
    <t>Unown-N</t>
  </si>
  <si>
    <t>Unown-O</t>
  </si>
  <si>
    <t>Unown-P</t>
  </si>
  <si>
    <t>Unown-Q</t>
  </si>
  <si>
    <t>Unown-R</t>
  </si>
  <si>
    <t>Unown-S</t>
  </si>
  <si>
    <t>Unown-T</t>
  </si>
  <si>
    <t>Unown-U</t>
  </si>
  <si>
    <t>Unown-V</t>
  </si>
  <si>
    <t>Unown-W</t>
  </si>
  <si>
    <t>Unown-X</t>
  </si>
  <si>
    <t>Unown-Y</t>
  </si>
  <si>
    <t>Unown-Z</t>
  </si>
  <si>
    <t>Unown-Exclamation Mark</t>
  </si>
  <si>
    <t>Unown-Question Mark</t>
  </si>
  <si>
    <t>Pineco</t>
  </si>
  <si>
    <t>Forretress</t>
  </si>
  <si>
    <t>Dunsparce</t>
  </si>
  <si>
    <t>Snubbull</t>
  </si>
  <si>
    <t>Granbull</t>
  </si>
  <si>
    <t>Hisuian Qwilfish</t>
  </si>
  <si>
    <t>Shuckle</t>
  </si>
  <si>
    <t>Slugma</t>
  </si>
  <si>
    <t>Magcargo</t>
  </si>
  <si>
    <t>Corsola</t>
  </si>
  <si>
    <t>Galarian Corsola</t>
  </si>
  <si>
    <t>Remoraid</t>
  </si>
  <si>
    <t>Delibird</t>
  </si>
  <si>
    <t>Mantine</t>
  </si>
  <si>
    <t>Kingdra</t>
  </si>
  <si>
    <t>Phanpy</t>
  </si>
  <si>
    <t>Stantler</t>
  </si>
  <si>
    <t>Tyrogue</t>
  </si>
  <si>
    <t>Hitmontop</t>
  </si>
  <si>
    <t>Smoochum</t>
  </si>
  <si>
    <t>Elekid</t>
  </si>
  <si>
    <t>Magby</t>
  </si>
  <si>
    <t>Miltank</t>
  </si>
  <si>
    <t>Blissey</t>
  </si>
  <si>
    <t>Entei</t>
  </si>
  <si>
    <t>Pupitar</t>
  </si>
  <si>
    <t>Tyranitar</t>
  </si>
  <si>
    <t>Hoenn</t>
  </si>
  <si>
    <t>III</t>
  </si>
  <si>
    <t>Treecko</t>
  </si>
  <si>
    <t>Sceptile</t>
  </si>
  <si>
    <t>Mudkip</t>
  </si>
  <si>
    <t>Marshtomp</t>
  </si>
  <si>
    <t>Swampert</t>
  </si>
  <si>
    <t>Poochyena</t>
  </si>
  <si>
    <t>Mightyena</t>
  </si>
  <si>
    <t>Galarian Zigzagoon</t>
  </si>
  <si>
    <t>Linoone</t>
  </si>
  <si>
    <t>Galarian Linoone</t>
  </si>
  <si>
    <t>Silcoon</t>
  </si>
  <si>
    <t>Lotad</t>
  </si>
  <si>
    <t>Lombre</t>
  </si>
  <si>
    <t>Taillow</t>
  </si>
  <si>
    <t>Swellow</t>
  </si>
  <si>
    <t>Wingull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</si>
  <si>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</si>
  <si>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</si>
  <si>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</si>
  <si>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</si>
  <si>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</si>
  <si>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</si>
  <si>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</si>
  <si>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</si>
  <si>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</si>
  <si>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</si>
  <si>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</si>
  <si>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</si>
  <si>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</si>
  <si>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</si>
  <si>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</si>
  <si>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</si>
  <si>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</si>
  <si>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</si>
  <si>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</si>
  <si>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</si>
  <si>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</si>
  <si>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</si>
  <si>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</si>
  <si>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</si>
  <si>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</si>
  <si>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</si>
  <si>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Electrike</t>
  </si>
  <si>
    <t>Manectric</t>
  </si>
  <si>
    <t>Plusle</t>
  </si>
  <si>
    <t>Minun</t>
  </si>
  <si>
    <t>Volbeat</t>
  </si>
  <si>
    <t>Illumise</t>
  </si>
  <si>
    <t>Carvanha</t>
  </si>
  <si>
    <t>Wailmer</t>
  </si>
  <si>
    <t>Wailord</t>
  </si>
  <si>
    <t>Torkoal</t>
  </si>
  <si>
    <t>Spoink</t>
  </si>
  <si>
    <t>Grumpig</t>
  </si>
  <si>
    <t>Trapinch</t>
  </si>
  <si>
    <t>Vibrava</t>
  </si>
  <si>
    <t>Cacnea</t>
  </si>
  <si>
    <t>Swablu</t>
  </si>
  <si>
    <t>Zangoose</t>
  </si>
  <si>
    <t>Seviper</t>
  </si>
  <si>
    <t>Lunatone</t>
  </si>
  <si>
    <t>Solrock</t>
  </si>
  <si>
    <t>Barboach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</si>
  <si>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</si>
  <si>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</si>
  <si>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</si>
  <si>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</si>
  <si>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</si>
  <si>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</si>
  <si>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</si>
  <si>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</si>
  <si>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</si>
  <si>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Castform</t>
  </si>
  <si>
    <t>Kecleon</t>
  </si>
  <si>
    <t>Shuppet</t>
  </si>
  <si>
    <t>Banette</t>
  </si>
  <si>
    <t>Tropius</t>
  </si>
  <si>
    <t>Chimecho</t>
  </si>
  <si>
    <t>Absol</t>
  </si>
  <si>
    <t>Wynaut</t>
  </si>
  <si>
    <t>Snorunt</t>
  </si>
  <si>
    <t>Glalie</t>
  </si>
  <si>
    <t>Sealeo</t>
  </si>
  <si>
    <t>Walrein</t>
  </si>
  <si>
    <t>Huntail</t>
  </si>
  <si>
    <t>Gorebyss</t>
  </si>
  <si>
    <t>Bagon</t>
  </si>
  <si>
    <t>Shelgon</t>
  </si>
  <si>
    <t>Salamence</t>
  </si>
  <si>
    <t>Beldum</t>
  </si>
  <si>
    <t>Metang</t>
  </si>
  <si>
    <t>Regirock</t>
  </si>
  <si>
    <t>Regice</t>
  </si>
  <si>
    <t>Registeel</t>
  </si>
  <si>
    <t>Latias</t>
  </si>
  <si>
    <t>Latios</t>
  </si>
  <si>
    <t>Kyogre</t>
  </si>
  <si>
    <t>Groudon</t>
  </si>
  <si>
    <t>Jirachi</t>
  </si>
  <si>
    <t>Deoxys-Normal</t>
  </si>
  <si>
    <t>Deoxys-Attack</t>
  </si>
  <si>
    <t>Deoxys-Defense</t>
  </si>
  <si>
    <t>Deoxys-Speed</t>
  </si>
  <si>
    <t>Sinnoh</t>
  </si>
  <si>
    <t>IV</t>
  </si>
  <si>
    <t>Grotle</t>
  </si>
  <si>
    <t>Torterra</t>
  </si>
  <si>
    <t>Monferno</t>
  </si>
  <si>
    <t>Infernape</t>
  </si>
  <si>
    <t>Prinplup</t>
  </si>
  <si>
    <t>Empoleon</t>
  </si>
  <si>
    <t>Cranidos</t>
  </si>
  <si>
    <t>Rampardos</t>
  </si>
  <si>
    <t>Shieldon</t>
  </si>
  <si>
    <t>Bastiodon</t>
  </si>
  <si>
    <t>Burmy Plant Cloak</t>
  </si>
  <si>
    <t>Burmy Sandy Cloak</t>
  </si>
  <si>
    <t>Burmy Trash Cloak</t>
  </si>
  <si>
    <t>Wormadam Plant Cloak</t>
  </si>
  <si>
    <t>Wormadam Sandy Cloak</t>
  </si>
  <si>
    <t>Wormadam Trash Cloak</t>
  </si>
  <si>
    <t>Mothim</t>
  </si>
  <si>
    <t>Vespiquen</t>
  </si>
  <si>
    <t>Cherubi</t>
  </si>
  <si>
    <t>Cherrim</t>
  </si>
  <si>
    <t>Shellos</t>
  </si>
  <si>
    <t>Gastrodon</t>
  </si>
  <si>
    <t>Drifblim</t>
  </si>
  <si>
    <t>Mismagius</t>
  </si>
  <si>
    <t>Honchkrow</t>
  </si>
  <si>
    <t>Glameow</t>
  </si>
  <si>
    <t>Purugly</t>
  </si>
  <si>
    <t>Chingling</t>
  </si>
  <si>
    <t>Stunky</t>
  </si>
  <si>
    <t>Skuntank</t>
  </si>
  <si>
    <t>Bronzong</t>
  </si>
  <si>
    <t>Bonsly</t>
  </si>
  <si>
    <t>Mime Jr.</t>
  </si>
  <si>
    <t>Happiny</t>
  </si>
  <si>
    <t>Chatot</t>
  </si>
  <si>
    <t>Spiritomb</t>
  </si>
  <si>
    <t>Munchlax</t>
  </si>
  <si>
    <t>Riolu</t>
  </si>
  <si>
    <t>Hippopotas</t>
  </si>
  <si>
    <t>Hippowdon</t>
  </si>
  <si>
    <t>Skorupi</t>
  </si>
  <si>
    <t>Mantyke</t>
  </si>
  <si>
    <t>Magnezone</t>
  </si>
  <si>
    <t>Lickilicky</t>
  </si>
  <si>
    <t>Togekiss</t>
  </si>
  <si>
    <t>Yanmega</t>
  </si>
  <si>
    <t>Leafeon</t>
  </si>
  <si>
    <t>Glaceon</t>
  </si>
  <si>
    <t>Gliscor</t>
  </si>
  <si>
    <t>Gallade</t>
  </si>
  <si>
    <t>Probopass</t>
  </si>
  <si>
    <t>Froslass</t>
  </si>
  <si>
    <t>Rotom</t>
  </si>
  <si>
    <t>Heat Rotom</t>
  </si>
  <si>
    <t>Wash Rotom</t>
  </si>
  <si>
    <t>Frost Rotom</t>
  </si>
  <si>
    <t>Fan Rotom</t>
  </si>
  <si>
    <t>Mow Rotom</t>
  </si>
  <si>
    <t>Uxie</t>
  </si>
  <si>
    <t>Mesprit</t>
  </si>
  <si>
    <t>Azelf</t>
  </si>
  <si>
    <t>Heatran</t>
  </si>
  <si>
    <t>Regigigas</t>
  </si>
  <si>
    <t>Cresselia</t>
  </si>
  <si>
    <t>Phione</t>
  </si>
  <si>
    <t>Manaphy</t>
  </si>
  <si>
    <t>Darkrai</t>
  </si>
  <si>
    <t>Shaymin</t>
  </si>
  <si>
    <t>Shaymin Sky Forme</t>
  </si>
  <si>
    <t>Arceus</t>
  </si>
  <si>
    <t>V</t>
  </si>
  <si>
    <t>Victini</t>
  </si>
  <si>
    <t>Tepig</t>
  </si>
  <si>
    <t>Pignite</t>
  </si>
  <si>
    <t>Emboar</t>
  </si>
  <si>
    <t>Oshawott</t>
  </si>
  <si>
    <t>Dewott</t>
  </si>
  <si>
    <t>Samurott</t>
  </si>
  <si>
    <t>Hisuian 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</si>
  <si>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</si>
  <si>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</si>
  <si>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</si>
  <si>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</si>
  <si>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</si>
  <si>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</si>
  <si>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</si>
  <si>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</si>
  <si>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</si>
  <si>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</si>
  <si>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</si>
  <si>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</si>
  <si>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</si>
  <si>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</si>
  <si>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</si>
  <si>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</si>
  <si>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</si>
  <si>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Blitzle</t>
  </si>
  <si>
    <t>Zebstrika</t>
  </si>
  <si>
    <t>Roggenrola</t>
  </si>
  <si>
    <t>Boldore</t>
  </si>
  <si>
    <t>Woobat</t>
  </si>
  <si>
    <t>Swoobat</t>
  </si>
  <si>
    <t>Drilbur</t>
  </si>
  <si>
    <t>Audino</t>
  </si>
  <si>
    <t>Timburr</t>
  </si>
  <si>
    <t>Gurdurr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</si>
  <si>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</si>
  <si>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</si>
  <si>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</si>
  <si>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</si>
  <si>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</si>
  <si>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</si>
  <si>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</si>
  <si>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</si>
  <si>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</si>
  <si>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</si>
  <si>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Cottonee</t>
  </si>
  <si>
    <t>Whimsicott</t>
  </si>
  <si>
    <t>Petilil</t>
  </si>
  <si>
    <t>Lilligant</t>
  </si>
  <si>
    <t>Hisuian Lilligant</t>
  </si>
  <si>
    <t>Basculin Red-Striped Form</t>
  </si>
  <si>
    <t>Basculin Blue-Striped Form</t>
  </si>
  <si>
    <t>Basculin White-Striped Form</t>
  </si>
  <si>
    <t>Sandile</t>
  </si>
  <si>
    <t>Krokorok</t>
  </si>
  <si>
    <t>Krookodile</t>
  </si>
  <si>
    <t>Darumaka</t>
  </si>
  <si>
    <t>Galarian Darumaka</t>
  </si>
  <si>
    <t>Darmanitan</t>
  </si>
  <si>
    <t>Galarian Darmanitan</t>
  </si>
  <si>
    <t>Maractus</t>
  </si>
  <si>
    <t>Dwebble</t>
  </si>
  <si>
    <t>Scraggy</t>
  </si>
  <si>
    <t>Scrafty</t>
  </si>
  <si>
    <t>Yamask</t>
  </si>
  <si>
    <t>Galarian 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</si>
  <si>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</si>
  <si>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</si>
  <si>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</si>
  <si>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</si>
  <si>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</si>
  <si>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</si>
  <si>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</si>
  <si>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</si>
  <si>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Hisuian Zorua</t>
  </si>
  <si>
    <t>Zoroark</t>
  </si>
  <si>
    <t>Hisuian 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</si>
  <si>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</si>
  <si>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</si>
  <si>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</si>
  <si>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</si>
  <si>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</si>
  <si>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</si>
  <si>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</si>
  <si>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</si>
  <si>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</si>
  <si>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Vanillite</t>
  </si>
  <si>
    <t>Vanillish</t>
  </si>
  <si>
    <t>Vanilluxe</t>
  </si>
  <si>
    <t>Deerling Spring Form</t>
  </si>
  <si>
    <t>Deerling Summer Form</t>
  </si>
  <si>
    <t>Deerling Autumn Form</t>
  </si>
  <si>
    <t>Deerling Winter Form</t>
  </si>
  <si>
    <t>Sawsbuck Spring Form</t>
  </si>
  <si>
    <t>Sawsbuck Summer Form</t>
  </si>
  <si>
    <t>Sawsbuck Autumn Form</t>
  </si>
  <si>
    <t>Sawsbuck Winter Form</t>
  </si>
  <si>
    <t>Emolga</t>
  </si>
  <si>
    <t>Karrablast</t>
  </si>
  <si>
    <t>Escavalier</t>
  </si>
  <si>
    <t>Foongus</t>
  </si>
  <si>
    <t>Amoonguss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</si>
  <si>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</si>
  <si>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</si>
  <si>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</si>
  <si>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</si>
  <si>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</si>
  <si>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</si>
  <si>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</si>
  <si>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</si>
  <si>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</si>
  <si>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</si>
  <si>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</si>
  <si>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</si>
  <si>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</si>
  <si>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</si>
  <si>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</si>
  <si>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</si>
  <si>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</si>
  <si>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</si>
  <si>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</si>
  <si>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</si>
  <si>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</si>
  <si>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</si>
  <si>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</si>
  <si>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Galarian Stunfisk</t>
  </si>
  <si>
    <t>Mienfoo</t>
  </si>
  <si>
    <t>Mienshao</t>
  </si>
  <si>
    <t>Golett</t>
  </si>
  <si>
    <t>Pawniard</t>
  </si>
  <si>
    <t>Bisharp</t>
  </si>
  <si>
    <t>Bouffalant</t>
  </si>
  <si>
    <t>Rufflet</t>
  </si>
  <si>
    <t>Braviary</t>
  </si>
  <si>
    <t>Hisuian Braviary</t>
  </si>
  <si>
    <t>Vullaby</t>
  </si>
  <si>
    <t>Mandibuzz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</si>
  <si>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</si>
  <si>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</si>
  <si>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</si>
  <si>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</si>
  <si>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</si>
  <si>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</si>
  <si>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</si>
  <si>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</si>
  <si>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</si>
  <si>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 Incarnate Form</t>
  </si>
  <si>
    <t>Tornadus Therian Forme</t>
  </si>
  <si>
    <t>Thundurus Incarnate Form</t>
  </si>
  <si>
    <t>Thundurus Therian Forme</t>
  </si>
  <si>
    <t>Reshiram Incarnate Form</t>
  </si>
  <si>
    <t>Zekrom</t>
  </si>
  <si>
    <t>Landorus</t>
  </si>
  <si>
    <t>Landorus Therian Forme</t>
  </si>
  <si>
    <t>Kyurem</t>
  </si>
  <si>
    <t>Keldeo Ordinary Forme</t>
  </si>
  <si>
    <t>Keldeo Resolute Forme</t>
  </si>
  <si>
    <t>Meloetta Aria Forme</t>
  </si>
  <si>
    <t>Genesect</t>
  </si>
  <si>
    <t>Kalos</t>
  </si>
  <si>
    <t>VI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</si>
  <si>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</si>
  <si>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</si>
  <si>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</si>
  <si>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</si>
  <si>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</si>
  <si>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</si>
  <si>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</si>
  <si>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</si>
  <si>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</si>
  <si>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Greninja Battle Bond</t>
  </si>
  <si>
    <t>Bunnelby</t>
  </si>
  <si>
    <t>Diggersby</t>
  </si>
  <si>
    <t>Scatterbug</t>
  </si>
  <si>
    <t>Spewpa</t>
  </si>
  <si>
    <t>Vivillon Meadow Pattern</t>
  </si>
  <si>
    <t>Vivillon Polar Pattern</t>
  </si>
  <si>
    <t>Vivillon Tundra Pattern</t>
  </si>
  <si>
    <t>Vivillon Continental Pattern</t>
  </si>
  <si>
    <t>Vivillon Garden Pattern</t>
  </si>
  <si>
    <t>Vivillon Elegant Pattern</t>
  </si>
  <si>
    <t>Vivillon Icy Snow Pattern</t>
  </si>
  <si>
    <t>Vivillon Modern Pattern</t>
  </si>
  <si>
    <t>Vivillon Marine Pattern</t>
  </si>
  <si>
    <t>Vivillon Archipelago Pattern</t>
  </si>
  <si>
    <t>Vivillon High Plains Pattern</t>
  </si>
  <si>
    <t>Vivillon Sandstorm Pattern</t>
  </si>
  <si>
    <t>Vivillon River Pattern</t>
  </si>
  <si>
    <t>Vivillon Monsoon Pattern</t>
  </si>
  <si>
    <t>Vivillon Savanna Pattern</t>
  </si>
  <si>
    <t>Vivillon Sun Pattern</t>
  </si>
  <si>
    <t>Vivillon Ocean Pattern</t>
  </si>
  <si>
    <t>Vivillon Jungle Pattern</t>
  </si>
  <si>
    <t>Vivillon Fancy Pattern</t>
  </si>
  <si>
    <t>Vivillon Poké Ball Pattern</t>
  </si>
  <si>
    <t>Litleo</t>
  </si>
  <si>
    <t>Flabébé Red Flower</t>
  </si>
  <si>
    <t>Flabébé Yellow Flower</t>
  </si>
  <si>
    <t>Flabébé Orange Flower</t>
  </si>
  <si>
    <t>Flabébé Blue Flower</t>
  </si>
  <si>
    <t>Flabébé White Flower</t>
  </si>
  <si>
    <t>Floette Red Flower</t>
  </si>
  <si>
    <t>Floette Yellow Flower</t>
  </si>
  <si>
    <t>Floette Orange Flower</t>
  </si>
  <si>
    <t>Floette Blue Flower</t>
  </si>
  <si>
    <t>Floette White Flower</t>
  </si>
  <si>
    <t>Eternal Flower Floette</t>
  </si>
  <si>
    <t>Florges Red Flower</t>
  </si>
  <si>
    <t>Florges Yellow Flower</t>
  </si>
  <si>
    <t>Florges Orange Flower</t>
  </si>
  <si>
    <t>Florges Blue Flower</t>
  </si>
  <si>
    <t>Florges White Flower</t>
  </si>
  <si>
    <t>Skiddo</t>
  </si>
  <si>
    <t>Pancham</t>
  </si>
  <si>
    <t>Pangoro</t>
  </si>
  <si>
    <t>Furfrou Natural Form</t>
  </si>
  <si>
    <t>Furfrou Heart Trim</t>
  </si>
  <si>
    <t>Furfrou Star Trim</t>
  </si>
  <si>
    <t>Furfrou Diamond Trim</t>
  </si>
  <si>
    <t>Furfrou Deputante Trim</t>
  </si>
  <si>
    <t>Furfrou Matron Trim</t>
  </si>
  <si>
    <t>Furfrou Dandy Trim</t>
  </si>
  <si>
    <t>Furfrou La Reine Trim</t>
  </si>
  <si>
    <t>Furfrou Kabuki Trim</t>
  </si>
  <si>
    <t>Furfrou Pharaoh Trim</t>
  </si>
  <si>
    <t>Espurr</t>
  </si>
  <si>
    <t>Meowstic ♂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</si>
  <si>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</si>
  <si>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</si>
  <si>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</si>
  <si>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</si>
  <si>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</si>
  <si>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</si>
  <si>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</si>
  <si>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</si>
  <si>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</si>
  <si>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</si>
  <si>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</si>
  <si>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Dragalge</t>
  </si>
  <si>
    <t>Clauncher</t>
  </si>
  <si>
    <t>Clawitzer</t>
  </si>
  <si>
    <t>Helioptile</t>
  </si>
  <si>
    <t>Tyrunt</t>
  </si>
  <si>
    <t>Tyrantrum</t>
  </si>
  <si>
    <t>Amaura</t>
  </si>
  <si>
    <t>Aurorus</t>
  </si>
  <si>
    <t>Sylveon</t>
  </si>
  <si>
    <t>Carbink</t>
  </si>
  <si>
    <t>Goomy</t>
  </si>
  <si>
    <t>Sliggoo</t>
  </si>
  <si>
    <t>Hisuian Sliggoo</t>
  </si>
  <si>
    <t>Goodra</t>
  </si>
  <si>
    <t>Hisuian Goodra</t>
  </si>
  <si>
    <t>Klefki</t>
  </si>
  <si>
    <t>Trevenant</t>
  </si>
  <si>
    <t>Pumpkaboo Average Size</t>
  </si>
  <si>
    <t>Pumpkaboo Small Size</t>
  </si>
  <si>
    <t>Pumpkaboo Large Size</t>
  </si>
  <si>
    <t>Pumpkaboo Super Size</t>
  </si>
  <si>
    <t>Gourgeist Average Size</t>
  </si>
  <si>
    <t>Gourgeist Small Size</t>
  </si>
  <si>
    <t>Gourgeist Large Size</t>
  </si>
  <si>
    <t>Gourgeist Super Size</t>
  </si>
  <si>
    <t>Bergmite</t>
  </si>
  <si>
    <t>Hisuian Avalugg</t>
  </si>
  <si>
    <t>Noivern</t>
  </si>
  <si>
    <t>Xerneas Neutral Mode</t>
  </si>
  <si>
    <t>Zygarde 50% Forme</t>
  </si>
  <si>
    <t>Zygarde 10% Forme</t>
  </si>
  <si>
    <t>Zygarde Power Construct</t>
  </si>
  <si>
    <t>Diancie</t>
  </si>
  <si>
    <t>Hoopa (Hoopa Confined)</t>
  </si>
  <si>
    <t>Hoopa (Hoopa Unbound)</t>
  </si>
  <si>
    <t>Volcanion</t>
  </si>
  <si>
    <t>Alola</t>
  </si>
  <si>
    <t>VII</t>
  </si>
  <si>
    <t>Rowlet</t>
  </si>
  <si>
    <t>Dartrix</t>
  </si>
  <si>
    <t>Decidueye</t>
  </si>
  <si>
    <t>Hisuian 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</si>
  <si>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</si>
  <si>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</si>
  <si>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</si>
  <si>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</si>
  <si>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</si>
  <si>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</si>
  <si>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</si>
  <si>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</si>
  <si>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</si>
  <si>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</si>
  <si>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</si>
  <si>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</si>
  <si>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</si>
  <si>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</si>
  <si>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</si>
  <si>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</si>
  <si>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 Baile Style</t>
  </si>
  <si>
    <t>Oricorio Pom-Pom Style</t>
  </si>
  <si>
    <t>Oricorio Pa'u Stye</t>
  </si>
  <si>
    <t>Oricorio Sensu Style</t>
  </si>
  <si>
    <t>Cutiefly</t>
  </si>
  <si>
    <t>Ribombee</t>
  </si>
  <si>
    <t>Rockruff</t>
  </si>
  <si>
    <t>Rockruff Own Tempo</t>
  </si>
  <si>
    <t>Lycanroc Midday Form</t>
  </si>
  <si>
    <t>Lycanroc Midnight Form</t>
  </si>
  <si>
    <t>Lycanroc Dusk Form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</si>
  <si>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</si>
  <si>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</si>
  <si>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</si>
  <si>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</si>
  <si>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</si>
  <si>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</si>
  <si>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</si>
  <si>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</si>
  <si>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</si>
  <si>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</si>
  <si>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</si>
  <si>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</si>
  <si>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</si>
  <si>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</si>
  <si>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</si>
  <si>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</si>
  <si>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</si>
  <si>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</si>
  <si>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</si>
  <si>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</si>
  <si>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</si>
  <si>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</si>
  <si>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</si>
  <si>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</si>
  <si>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</si>
  <si>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</si>
  <si>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</si>
  <si>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</si>
  <si>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 Red</t>
  </si>
  <si>
    <t>Minior Indigo</t>
  </si>
  <si>
    <t>Minior Yellow</t>
  </si>
  <si>
    <t>Minior Green</t>
  </si>
  <si>
    <t>Minior Blue</t>
  </si>
  <si>
    <t>Minior Orange</t>
  </si>
  <si>
    <t>Minior Violet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</si>
  <si>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</si>
  <si>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</si>
  <si>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</si>
  <si>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</si>
  <si>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</si>
  <si>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</si>
  <si>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</si>
  <si>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</si>
  <si>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</si>
  <si>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</si>
  <si>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</si>
  <si>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</si>
  <si>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</si>
  <si>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</si>
  <si>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</si>
  <si>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</si>
  <si>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</si>
  <si>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</si>
  <si>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</si>
  <si>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</si>
  <si>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</si>
  <si>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</si>
  <si>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</si>
  <si>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</si>
  <si>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</si>
  <si>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</si>
  <si>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</si>
  <si>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Magearna Original Color</t>
  </si>
  <si>
    <t>Marshadow</t>
  </si>
  <si>
    <t>Poipole</t>
  </si>
  <si>
    <t>Naganadel</t>
  </si>
  <si>
    <t>Stakataka</t>
  </si>
  <si>
    <t>Galar</t>
  </si>
  <si>
    <t>VIII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</si>
  <si>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</si>
  <si>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</si>
  <si>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</si>
  <si>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</si>
  <si>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</si>
  <si>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</si>
  <si>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</si>
  <si>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</si>
  <si>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</si>
  <si>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</si>
  <si>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</si>
  <si>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</si>
  <si>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</si>
  <si>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</si>
  <si>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</si>
  <si>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</si>
  <si>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</si>
  <si>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</si>
  <si>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</si>
  <si>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</si>
  <si>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</si>
  <si>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</si>
  <si>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</si>
  <si>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</si>
  <si>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</si>
  <si>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</si>
  <si>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</si>
  <si>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</si>
  <si>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</si>
  <si>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</si>
  <si>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</si>
  <si>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</si>
  <si>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Silicobra</t>
  </si>
  <si>
    <t>Arrokuda</t>
  </si>
  <si>
    <t>Barraskewda</t>
  </si>
  <si>
    <t>Toxel</t>
  </si>
  <si>
    <t>Toxtricity Amped Form</t>
  </si>
  <si>
    <t>Toxtricity Low Key Form</t>
  </si>
  <si>
    <t>Sizzlipede</t>
  </si>
  <si>
    <t>Centiskorch</t>
  </si>
  <si>
    <t>Clobbopus</t>
  </si>
  <si>
    <t>Grapploct</t>
  </si>
  <si>
    <t>Sinistea Phony Form</t>
  </si>
  <si>
    <t>Sinistea Antique Form</t>
  </si>
  <si>
    <t>Polteageist Phony Form</t>
  </si>
  <si>
    <t>Polteageist Antique Form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</si>
  <si>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</si>
  <si>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</si>
  <si>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</si>
  <si>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</si>
  <si>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</si>
  <si>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</si>
  <si>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</si>
  <si>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</si>
  <si>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</si>
  <si>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Sirfetch’d</t>
  </si>
  <si>
    <t>Mr. Rime</t>
  </si>
  <si>
    <t>Runerigus</t>
  </si>
  <si>
    <t>Milcery</t>
  </si>
  <si>
    <t>Alcremie Vanilla Cream (Strawberry)</t>
  </si>
  <si>
    <t>Alcremie Vanilla Cream (Berry)</t>
  </si>
  <si>
    <t>Alcremie Vanilla Cream (Love)</t>
  </si>
  <si>
    <t>Alcremie Vanilla Cream (Star)</t>
  </si>
  <si>
    <t>Alcremie Vanilla Cream (Clover)</t>
  </si>
  <si>
    <t>Alcremie Vanilla Cream (Flower)</t>
  </si>
  <si>
    <t>Alcremie Vanilla Cream (Ribbon)</t>
  </si>
  <si>
    <t>Alcremie Ruby Cream (Strawberry)</t>
  </si>
  <si>
    <t>Alcremie Ruby Cream (Berry)</t>
  </si>
  <si>
    <t>Alcremie Ruby Cream (Love)</t>
  </si>
  <si>
    <t>Alcremie Ruby Cream (Star)</t>
  </si>
  <si>
    <t>Alcremie Ruby Cream (Clover)</t>
  </si>
  <si>
    <t>Alcremie Ruby Cream (Flower)</t>
  </si>
  <si>
    <t>Alcremie Ruby Cream (Ribbon)</t>
  </si>
  <si>
    <t>Alcremie Matcha Cream (Strawberry)</t>
  </si>
  <si>
    <t>Alcremie Matcha Cream (Berry)</t>
  </si>
  <si>
    <t>Alcremie Matcha Cream (Love)</t>
  </si>
  <si>
    <t>Alcremie Matcha Cream (Star)</t>
  </si>
  <si>
    <t>Alcremie Matcha Cream (Clover)</t>
  </si>
  <si>
    <t>Alcremie Matcha Cream (Flower)</t>
  </si>
  <si>
    <t>Alcremie Matcha Cream (Ribbon)</t>
  </si>
  <si>
    <t>Alcremie Mint Cream (Strawberry)</t>
  </si>
  <si>
    <t>Alcremie Mint Cream (Berry)</t>
  </si>
  <si>
    <t>Alcremie Mint Cream (Love)</t>
  </si>
  <si>
    <t>Alcremie Mint Cream (Star)</t>
  </si>
  <si>
    <t>Alcremie Mint Cream (Clover)</t>
  </si>
  <si>
    <t>Alcremie Mint Cream (Flower)</t>
  </si>
  <si>
    <t>Alcremie Mint Cream (Ribbon)</t>
  </si>
  <si>
    <t>Alcremie Lemon Cream (Strawberry)</t>
  </si>
  <si>
    <t>Alcremie Lemon Cream (Berry)</t>
  </si>
  <si>
    <t>Alcremie Lemon Cream (Love)</t>
  </si>
  <si>
    <t>Alcremie Lemon Cream (Star)</t>
  </si>
  <si>
    <t>Alcremie Lemon Cream (Clover)</t>
  </si>
  <si>
    <t>Alcremie Lemon Cream (Flower)</t>
  </si>
  <si>
    <t>Alcremie Lemon Cream (Ribbon)</t>
  </si>
  <si>
    <t>Alcremie Salted Cream (Strawberry)</t>
  </si>
  <si>
    <t>Alcremie Salted Cream (Berry)</t>
  </si>
  <si>
    <t>Alcremie Salted Cream (Love)</t>
  </si>
  <si>
    <t>Alcremie Salted Cream (Star)</t>
  </si>
  <si>
    <t>Alcremie Salted Cream (Clover)</t>
  </si>
  <si>
    <t>Alcremie Salted Cream (Flower)</t>
  </si>
  <si>
    <t>Alcremie Salted Cream (Ribbon)</t>
  </si>
  <si>
    <t>Alcremie Ruby Swirl (Strawberry)</t>
  </si>
  <si>
    <t>Alcremie Ruby Swirl (Berry)</t>
  </si>
  <si>
    <t>Alcremie Ruby Swirl (Love)</t>
  </si>
  <si>
    <t>Alcremie Ruby Swirl (Star)</t>
  </si>
  <si>
    <t>Alcremie Ruby Swirl (Clover)</t>
  </si>
  <si>
    <t>Alcremie Ruby Swirl (Flower)</t>
  </si>
  <si>
    <t>Alcremie Ruby Swirl (Ribbon)</t>
  </si>
  <si>
    <t>Alcremie Caramel Swirl (Strawberry)</t>
  </si>
  <si>
    <t>Alcremie Caramel Swirl (Berry)</t>
  </si>
  <si>
    <t>Alcremie Caramel Swirl (Love)</t>
  </si>
  <si>
    <t>Alcremie Caramel Swirl (Star)</t>
  </si>
  <si>
    <t>Alcremie Caramel Swirl (Clover)</t>
  </si>
  <si>
    <t>Alcremie Caramel Swirl (Flower)</t>
  </si>
  <si>
    <t>Alcremie Caramel Swirl (Ribbon)</t>
  </si>
  <si>
    <t>Alcremie Rainbow Swirl (Strawberry)</t>
  </si>
  <si>
    <t>Alcremie Rainbow Swirl (Berry)</t>
  </si>
  <si>
    <t>Alcremie Rainbow Swirl (Love)</t>
  </si>
  <si>
    <t>Alcremie Rainbow Swirl (Star)</t>
  </si>
  <si>
    <t>Alcremie Rainbow Swirl (Clover)</t>
  </si>
  <si>
    <t>Alcremie Rainbow Swirl (Flower)</t>
  </si>
  <si>
    <t>Alcremie Rainbow Swirl (Ribbon)</t>
  </si>
  <si>
    <t>Falinks</t>
  </si>
  <si>
    <t>Pincurchin</t>
  </si>
  <si>
    <t>Snom</t>
  </si>
  <si>
    <t>Frosmoth</t>
  </si>
  <si>
    <t>Stonjourner</t>
  </si>
  <si>
    <t>Eiscue</t>
  </si>
  <si>
    <t>Morpeko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</si>
  <si>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</si>
  <si>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</si>
  <si>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</si>
  <si>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</si>
  <si>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</si>
  <si>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</si>
  <si>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</si>
  <si>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</si>
  <si>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</si>
  <si>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Dragapult</t>
  </si>
  <si>
    <t>Zacian Hero of Many Battles</t>
  </si>
  <si>
    <t>Zamazenta Hero of Many Battles</t>
  </si>
  <si>
    <t>Eternatus</t>
  </si>
  <si>
    <t>Kubfu</t>
  </si>
  <si>
    <t>Urshifu Single Strike Style</t>
  </si>
  <si>
    <t>Urshifu Rapid Strike Style</t>
  </si>
  <si>
    <t>Zarude</t>
  </si>
  <si>
    <t>Zarude Dada</t>
  </si>
  <si>
    <t>Regieleki</t>
  </si>
  <si>
    <t>Regidrago</t>
  </si>
  <si>
    <t>Glastrier</t>
  </si>
  <si>
    <t>Spectrier</t>
  </si>
  <si>
    <t>Calyrex</t>
  </si>
  <si>
    <t>Hisui</t>
  </si>
  <si>
    <t>Wyrdeer</t>
  </si>
  <si>
    <t>Kleavor</t>
  </si>
  <si>
    <t>Ursaluna</t>
  </si>
  <si>
    <t>Ursaluna Blood Moon Form</t>
  </si>
  <si>
    <t>Sneasler</t>
  </si>
  <si>
    <t>Overqwil</t>
  </si>
  <si>
    <t>Enamorus Incarnate Forme</t>
  </si>
  <si>
    <t>Enamorus Therian Forme</t>
  </si>
  <si>
    <t>Paldea</t>
  </si>
  <si>
    <t>IX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</si>
  <si>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</si>
  <si>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</si>
  <si>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</si>
  <si>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</si>
  <si>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</si>
  <si>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</si>
  <si>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</si>
  <si>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</si>
  <si>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</si>
  <si>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</si>
  <si>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</si>
  <si>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</si>
  <si>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</si>
  <si>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</si>
  <si>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</si>
  <si>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</si>
  <si>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</si>
  <si>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</si>
  <si>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 Family of Three</t>
  </si>
  <si>
    <t>Maushold Family of Four</t>
  </si>
  <si>
    <t>Fidough</t>
  </si>
  <si>
    <t>Dachsbun</t>
  </si>
  <si>
    <t>Smoliv</t>
  </si>
  <si>
    <t>Dolliv</t>
  </si>
  <si>
    <t>Arboliva</t>
  </si>
  <si>
    <t>Squawkabilly Green Plumage</t>
  </si>
  <si>
    <t>Squawkabilly Blue Plumage</t>
  </si>
  <si>
    <t>Squawkabilly Yellow Plumage</t>
  </si>
  <si>
    <t>Squawkabilly White Plumage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</si>
  <si>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</si>
  <si>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</si>
  <si>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</si>
  <si>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</si>
  <si>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</si>
  <si>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</si>
  <si>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</si>
  <si>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</si>
  <si>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</si>
  <si>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</si>
  <si>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</si>
  <si>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</si>
  <si>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</si>
  <si>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</si>
  <si>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</si>
  <si>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</si>
  <si>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</si>
  <si>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</si>
  <si>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</si>
  <si>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</si>
  <si>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</si>
  <si>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</si>
  <si>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</si>
  <si>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</si>
  <si>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</si>
  <si>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</si>
  <si>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</si>
  <si>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</si>
  <si>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</si>
  <si>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</si>
  <si>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Bombirdier</t>
  </si>
  <si>
    <t>Finizen</t>
  </si>
  <si>
    <t>Palafin</t>
  </si>
  <si>
    <t>Varoom</t>
  </si>
  <si>
    <t>Revavroom</t>
  </si>
  <si>
    <t>Cyclizar</t>
  </si>
  <si>
    <t>Orthworm</t>
  </si>
  <si>
    <t>Glimmet</t>
  </si>
  <si>
    <t>Glimmora</t>
  </si>
  <si>
    <t>Greavard</t>
  </si>
  <si>
    <t>Houndstone</t>
  </si>
  <si>
    <t>Flamigo</t>
  </si>
  <si>
    <t>Cetoddle</t>
  </si>
  <si>
    <t>Cetitan</t>
  </si>
  <si>
    <t>Veluza</t>
  </si>
  <si>
    <t>Dondozo</t>
  </si>
  <si>
    <t>Tatsugiri Curly Form</t>
  </si>
  <si>
    <t>Tatsugiri Droopy Form</t>
  </si>
  <si>
    <t>Tatsugiri Stretchy Form</t>
  </si>
  <si>
    <t>Annihilape</t>
  </si>
  <si>
    <t>Clodsire</t>
  </si>
  <si>
    <t>Farigiraf</t>
  </si>
  <si>
    <t>Dudunsparce Two-Segment Form</t>
  </si>
  <si>
    <t>Dudunsparce Three-Segment Form</t>
  </si>
  <si>
    <t>Kingambit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</si>
  <si>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</si>
  <si>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</si>
  <si>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</si>
  <si>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</si>
  <si>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</si>
  <si>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</si>
  <si>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</si>
  <si>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</si>
  <si>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</si>
  <si>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</si>
  <si>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</si>
  <si>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</si>
  <si>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Frigibax</t>
  </si>
  <si>
    <t>Arctibax</t>
  </si>
  <si>
    <t>Baxcalibur</t>
  </si>
  <si>
    <t>Gimmighoul Chest Form</t>
  </si>
  <si>
    <t>Gimmighoul Roaming Form</t>
  </si>
  <si>
    <t>Gholdengo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</si>
  <si>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</si>
  <si>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</si>
  <si>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</si>
  <si>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</si>
  <si>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</si>
  <si>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</si>
  <si>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</si>
  <si>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</si>
  <si>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Walking Wake</t>
  </si>
  <si>
    <t>Iron Leaves</t>
  </si>
  <si>
    <t>Dipplin</t>
  </si>
  <si>
    <t>Poltchageist Counterfeit Form</t>
  </si>
  <si>
    <t>Poltchageist Artisan Form</t>
  </si>
  <si>
    <t>Sinistcha Unremarkable Form</t>
  </si>
  <si>
    <t>Sinistcha Masterpiece Form</t>
  </si>
  <si>
    <t>Okidogi</t>
  </si>
  <si>
    <t>Munkidori</t>
  </si>
  <si>
    <t>Fezandipiti</t>
  </si>
  <si>
    <t>Ogerpon</t>
  </si>
  <si>
    <t>Archaludon</t>
  </si>
  <si>
    <t>Hydrapple</t>
  </si>
  <si>
    <t>Gouging Fire</t>
  </si>
  <si>
    <t>Raging Bolt</t>
  </si>
  <si>
    <t>Iron Boulder</t>
  </si>
  <si>
    <t>Iron Crown</t>
  </si>
  <si>
    <t>Terapagos</t>
  </si>
  <si>
    <t>Pecharunt</t>
  </si>
  <si>
    <t>POKÈMON</t>
  </si>
  <si>
    <t>#DEX</t>
  </si>
  <si>
    <t>SPRITE</t>
  </si>
  <si>
    <t>ENCOUNTERS</t>
  </si>
  <si>
    <t>#001</t>
  </si>
  <si>
    <t>#002</t>
  </si>
  <si>
    <t>Venusaur</t>
  </si>
  <si>
    <t>#003</t>
  </si>
  <si>
    <t>#004</t>
  </si>
  <si>
    <t>#005</t>
  </si>
  <si>
    <t>#006</t>
  </si>
  <si>
    <t>#007</t>
  </si>
  <si>
    <t>#008</t>
  </si>
  <si>
    <t>#009</t>
  </si>
  <si>
    <t>#010</t>
  </si>
  <si>
    <t>#011</t>
  </si>
  <si>
    <t>Butterfree</t>
  </si>
  <si>
    <t>#012</t>
  </si>
  <si>
    <t>#013</t>
  </si>
  <si>
    <t>#014</t>
  </si>
  <si>
    <t>#015</t>
  </si>
  <si>
    <t>#016</t>
  </si>
  <si>
    <t>#017</t>
  </si>
  <si>
    <t>#018</t>
  </si>
  <si>
    <t>Rattata</t>
  </si>
  <si>
    <t>#019</t>
  </si>
  <si>
    <t>Raticate</t>
  </si>
  <si>
    <t>#020</t>
  </si>
  <si>
    <t>#021</t>
  </si>
  <si>
    <t>#022</t>
  </si>
  <si>
    <t>#023</t>
  </si>
  <si>
    <t>#024</t>
  </si>
  <si>
    <t>#025</t>
  </si>
  <si>
    <t>#026</t>
  </si>
  <si>
    <t>Raichu (Alolan)</t>
  </si>
  <si>
    <t>#028</t>
  </si>
  <si>
    <t>#027</t>
  </si>
  <si>
    <t>Sandslash (Alolan)</t>
  </si>
  <si>
    <t>#029</t>
  </si>
  <si>
    <t>#030</t>
  </si>
  <si>
    <t>#031</t>
  </si>
  <si>
    <t>#032</t>
  </si>
  <si>
    <t>#033</t>
  </si>
  <si>
    <t>#034</t>
  </si>
  <si>
    <t>#035</t>
  </si>
  <si>
    <t>#036</t>
  </si>
  <si>
    <t>#037</t>
  </si>
  <si>
    <t>#038</t>
  </si>
  <si>
    <t>#039</t>
  </si>
  <si>
    <t>#040</t>
  </si>
  <si>
    <t>Zubat</t>
  </si>
  <si>
    <t>#041</t>
  </si>
  <si>
    <t>#042</t>
  </si>
  <si>
    <t>#043</t>
  </si>
  <si>
    <t>Gloom</t>
  </si>
  <si>
    <t>#044</t>
  </si>
  <si>
    <t>Vileplume</t>
  </si>
  <si>
    <t>#045</t>
  </si>
  <si>
    <t>#046</t>
  </si>
  <si>
    <t>#047</t>
  </si>
  <si>
    <t>#048</t>
  </si>
  <si>
    <t>#049</t>
  </si>
  <si>
    <t>#050</t>
  </si>
  <si>
    <t>#051</t>
  </si>
  <si>
    <t>#052</t>
  </si>
  <si>
    <t>Meowth (Alolan)</t>
  </si>
  <si>
    <t>#053</t>
  </si>
  <si>
    <t>#054</t>
  </si>
  <si>
    <t>#055</t>
  </si>
  <si>
    <t>#056</t>
  </si>
  <si>
    <t>#057</t>
  </si>
  <si>
    <t>#058</t>
  </si>
  <si>
    <t>#059</t>
  </si>
  <si>
    <t>#060</t>
  </si>
  <si>
    <t>#061</t>
  </si>
  <si>
    <t>#062</t>
  </si>
  <si>
    <t>#063</t>
  </si>
  <si>
    <t>Kadabra</t>
  </si>
  <si>
    <t>#064</t>
  </si>
  <si>
    <t>Alakazam</t>
  </si>
  <si>
    <t>#065</t>
  </si>
  <si>
    <t>#066</t>
  </si>
  <si>
    <t>#067</t>
  </si>
  <si>
    <t>#068</t>
  </si>
  <si>
    <t>#069</t>
  </si>
  <si>
    <t>#070</t>
  </si>
  <si>
    <t>#071</t>
  </si>
  <si>
    <t>#072</t>
  </si>
  <si>
    <t>#073</t>
  </si>
  <si>
    <t>#074</t>
  </si>
  <si>
    <t>#075</t>
  </si>
  <si>
    <t>#076</t>
  </si>
  <si>
    <t>#077</t>
  </si>
  <si>
    <t>#078</t>
  </si>
  <si>
    <t>#079</t>
  </si>
  <si>
    <t>Slowbro (Galarian)</t>
  </si>
  <si>
    <t>#080</t>
  </si>
  <si>
    <t>#081</t>
  </si>
  <si>
    <t>#082</t>
  </si>
  <si>
    <t>Farfetch'd</t>
  </si>
  <si>
    <t>#083</t>
  </si>
  <si>
    <t>Doduo</t>
  </si>
  <si>
    <t>#084</t>
  </si>
  <si>
    <t>Dodrio</t>
  </si>
  <si>
    <t>#085</t>
  </si>
  <si>
    <t>#086</t>
  </si>
  <si>
    <t>#087</t>
  </si>
  <si>
    <t>#088</t>
  </si>
  <si>
    <t>#089</t>
  </si>
  <si>
    <t>#090</t>
  </si>
  <si>
    <t>#091</t>
  </si>
  <si>
    <t>#092</t>
  </si>
  <si>
    <t>#093</t>
  </si>
  <si>
    <t>#094</t>
  </si>
  <si>
    <t>#095</t>
  </si>
  <si>
    <t>#096</t>
  </si>
  <si>
    <t>Hypno</t>
  </si>
  <si>
    <t>#097</t>
  </si>
  <si>
    <t>#098</t>
  </si>
  <si>
    <t>#099</t>
  </si>
  <si>
    <t>#100</t>
  </si>
  <si>
    <t>#101</t>
  </si>
  <si>
    <t>#102</t>
  </si>
  <si>
    <t>#103</t>
  </si>
  <si>
    <t>#104</t>
  </si>
  <si>
    <t>Marowak (Alolan)</t>
  </si>
  <si>
    <t>#105</t>
  </si>
  <si>
    <t>#106</t>
  </si>
  <si>
    <t>#107</t>
  </si>
  <si>
    <t>#108</t>
  </si>
  <si>
    <t>#109</t>
  </si>
  <si>
    <t>#110</t>
  </si>
  <si>
    <t>Rhyhorn</t>
  </si>
  <si>
    <t>#111</t>
  </si>
  <si>
    <t>Rhydon</t>
  </si>
  <si>
    <t>#112</t>
  </si>
  <si>
    <t>#113</t>
  </si>
  <si>
    <t>#114</t>
  </si>
  <si>
    <t>#115</t>
  </si>
  <si>
    <t>#116</t>
  </si>
  <si>
    <t>#117</t>
  </si>
  <si>
    <t>Goldeen</t>
  </si>
  <si>
    <t>#118</t>
  </si>
  <si>
    <t>Seaking</t>
  </si>
  <si>
    <t>#119</t>
  </si>
  <si>
    <t>#120</t>
  </si>
  <si>
    <t>#121</t>
  </si>
  <si>
    <t>#122</t>
  </si>
  <si>
    <t>Scyther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</si>
  <si>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</si>
  <si>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</si>
  <si>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</si>
  <si>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</si>
  <si>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</si>
  <si>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</si>
  <si>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</si>
  <si>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</si>
  <si>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</si>
  <si>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</si>
  <si>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</si>
  <si>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</si>
  <si>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</si>
  <si>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</si>
  <si>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</si>
  <si>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</si>
  <si>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</si>
  <si>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</si>
  <si>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</si>
  <si>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</si>
  <si>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</si>
  <si>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</si>
  <si>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</si>
  <si>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</si>
  <si>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#147</t>
  </si>
  <si>
    <t>#148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</si>
  <si>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</si>
  <si>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</si>
  <si>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</si>
  <si>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</si>
  <si>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</si>
  <si>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</si>
  <si>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</si>
  <si>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</si>
  <si>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</si>
  <si>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</si>
  <si>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</si>
  <si>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</si>
  <si>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#161</t>
  </si>
  <si>
    <t>#162</t>
  </si>
  <si>
    <t>#163</t>
  </si>
  <si>
    <t>#164</t>
  </si>
  <si>
    <t>Ledyba</t>
  </si>
  <si>
    <t>#165</t>
  </si>
  <si>
    <t>Ledian</t>
  </si>
  <si>
    <t>#166</t>
  </si>
  <si>
    <t>#167</t>
  </si>
  <si>
    <t>#168</t>
  </si>
  <si>
    <t>#169</t>
  </si>
  <si>
    <t>#170</t>
  </si>
  <si>
    <t>#171</t>
  </si>
  <si>
    <t>#172</t>
  </si>
  <si>
    <t>#173</t>
  </si>
  <si>
    <t>#174</t>
  </si>
  <si>
    <t>#175</t>
  </si>
  <si>
    <t>#176</t>
  </si>
  <si>
    <t>#177</t>
  </si>
  <si>
    <t>Xatu</t>
  </si>
  <si>
    <t>#178</t>
  </si>
  <si>
    <t>#179</t>
  </si>
  <si>
    <t>#180</t>
  </si>
  <si>
    <t>#181</t>
  </si>
  <si>
    <t>#182</t>
  </si>
  <si>
    <t>#183</t>
  </si>
  <si>
    <t>#184</t>
  </si>
  <si>
    <t>#185</t>
  </si>
  <si>
    <t>Politoed</t>
  </si>
  <si>
    <t>#186</t>
  </si>
  <si>
    <t>#187</t>
  </si>
  <si>
    <t>#188</t>
  </si>
  <si>
    <t>#189</t>
  </si>
  <si>
    <t>Aipom</t>
  </si>
  <si>
    <t>#190</t>
  </si>
  <si>
    <t>#191</t>
  </si>
  <si>
    <t>#192</t>
  </si>
  <si>
    <t>#193</t>
  </si>
  <si>
    <t>#194</t>
  </si>
  <si>
    <t>Quagsire</t>
  </si>
  <si>
    <t>#195</t>
  </si>
  <si>
    <t>#196</t>
  </si>
  <si>
    <t>#197</t>
  </si>
  <si>
    <t>Murkrow</t>
  </si>
  <si>
    <t>#198</t>
  </si>
  <si>
    <t>#199</t>
  </si>
  <si>
    <t>#200</t>
  </si>
  <si>
    <t>#201</t>
  </si>
  <si>
    <t>#202</t>
  </si>
  <si>
    <t>Girafarig</t>
  </si>
  <si>
    <t>#203</t>
  </si>
  <si>
    <t>#204</t>
  </si>
  <si>
    <t>#205</t>
  </si>
  <si>
    <t>#206</t>
  </si>
  <si>
    <t>#207</t>
  </si>
  <si>
    <t>Steelix</t>
  </si>
  <si>
    <t>#208</t>
  </si>
  <si>
    <t>#209</t>
  </si>
  <si>
    <t>#210</t>
  </si>
  <si>
    <t>#211</t>
  </si>
  <si>
    <t>Scizor</t>
  </si>
  <si>
    <t>#212</t>
  </si>
  <si>
    <t>#213</t>
  </si>
  <si>
    <t>Heracross</t>
  </si>
  <si>
    <t>#214</t>
  </si>
  <si>
    <t>#215</t>
  </si>
  <si>
    <t>Sneasel (Hisuin)</t>
  </si>
  <si>
    <t>#216</t>
  </si>
  <si>
    <t>Ursaring</t>
  </si>
  <si>
    <t>#217</t>
  </si>
  <si>
    <t>#218</t>
  </si>
  <si>
    <t>#219</t>
  </si>
  <si>
    <t>#220</t>
  </si>
  <si>
    <t>Piloswine</t>
  </si>
  <si>
    <t>#221</t>
  </si>
  <si>
    <t>#222</t>
  </si>
  <si>
    <t>#223</t>
  </si>
  <si>
    <t>Octillery</t>
  </si>
  <si>
    <t>#224</t>
  </si>
  <si>
    <t>#225</t>
  </si>
  <si>
    <t>#226</t>
  </si>
  <si>
    <t>#227</t>
  </si>
  <si>
    <t>#228</t>
  </si>
  <si>
    <t>Houndoom</t>
  </si>
  <si>
    <t>#229</t>
  </si>
  <si>
    <t>#230</t>
  </si>
  <si>
    <t>#231</t>
  </si>
  <si>
    <t>Donphan</t>
  </si>
  <si>
    <t>#232</t>
  </si>
  <si>
    <t>#233</t>
  </si>
  <si>
    <t>#234</t>
  </si>
  <si>
    <t>#235</t>
  </si>
  <si>
    <t>#236</t>
  </si>
  <si>
    <t>#237</t>
  </si>
  <si>
    <t>#238</t>
  </si>
  <si>
    <t>#239</t>
  </si>
  <si>
    <t>#240</t>
  </si>
  <si>
    <t>#241</t>
  </si>
  <si>
    <t>#242</t>
  </si>
  <si>
    <t>#243</t>
  </si>
  <si>
    <t>#244</t>
  </si>
  <si>
    <t>#245</t>
  </si>
  <si>
    <t>#246</t>
  </si>
  <si>
    <t>#247</t>
  </si>
  <si>
    <t>#248</t>
  </si>
  <si>
    <t>#249</t>
  </si>
  <si>
    <t>#250</t>
  </si>
  <si>
    <t>#251</t>
  </si>
  <si>
    <t>#252</t>
  </si>
  <si>
    <t>#253</t>
  </si>
  <si>
    <t>#254</t>
  </si>
  <si>
    <t>Torchic</t>
  </si>
  <si>
    <t>#255</t>
  </si>
  <si>
    <t>Combusken</t>
  </si>
  <si>
    <t>#256</t>
  </si>
  <si>
    <t>#257</t>
  </si>
  <si>
    <t>#258</t>
  </si>
  <si>
    <t>#259</t>
  </si>
  <si>
    <t>#260</t>
  </si>
  <si>
    <t>#261</t>
  </si>
  <si>
    <t>#262</t>
  </si>
  <si>
    <t>#263</t>
  </si>
  <si>
    <t>#264</t>
  </si>
  <si>
    <t>#265</t>
  </si>
  <si>
    <t>#266</t>
  </si>
  <si>
    <t>Beautifly</t>
  </si>
  <si>
    <t>#267</t>
  </si>
  <si>
    <t>#268</t>
  </si>
  <si>
    <t>Dustox</t>
  </si>
  <si>
    <t>#269</t>
  </si>
  <si>
    <t>#270</t>
  </si>
  <si>
    <t>#271</t>
  </si>
  <si>
    <t>Ludicolo</t>
  </si>
  <si>
    <t>#272</t>
  </si>
  <si>
    <t>#273</t>
  </si>
  <si>
    <t>#274</t>
  </si>
  <si>
    <t>#275</t>
  </si>
  <si>
    <t>#276</t>
  </si>
  <si>
    <t>#277</t>
  </si>
  <si>
    <t>#278</t>
  </si>
  <si>
    <t>#279</t>
  </si>
  <si>
    <t>#280</t>
  </si>
  <si>
    <t>#281</t>
  </si>
  <si>
    <t>#282</t>
  </si>
  <si>
    <t>#283</t>
  </si>
  <si>
    <t>#284</t>
  </si>
  <si>
    <t>#285</t>
  </si>
  <si>
    <t>#286</t>
  </si>
  <si>
    <t>#287</t>
  </si>
  <si>
    <t>#288</t>
  </si>
  <si>
    <t>#289</t>
  </si>
  <si>
    <t>#290</t>
  </si>
  <si>
    <t>#291</t>
  </si>
  <si>
    <t>#292</t>
  </si>
  <si>
    <t>#293</t>
  </si>
  <si>
    <t>#294</t>
  </si>
  <si>
    <t>#295</t>
  </si>
  <si>
    <t>#296</t>
  </si>
  <si>
    <t>#297</t>
  </si>
  <si>
    <t>#298</t>
  </si>
  <si>
    <t>#299</t>
  </si>
  <si>
    <t>#300</t>
  </si>
  <si>
    <t>#301</t>
  </si>
  <si>
    <t>#302</t>
  </si>
  <si>
    <t>#303</t>
  </si>
  <si>
    <t>#304</t>
  </si>
  <si>
    <t>#305</t>
  </si>
  <si>
    <t>#306</t>
  </si>
  <si>
    <t>#307</t>
  </si>
  <si>
    <t>Medicham</t>
  </si>
  <si>
    <t>#308</t>
  </si>
  <si>
    <t>#309</t>
  </si>
  <si>
    <t>#310</t>
  </si>
  <si>
    <t>#311</t>
  </si>
  <si>
    <t>#312</t>
  </si>
  <si>
    <t>#313</t>
  </si>
  <si>
    <t>#314</t>
  </si>
  <si>
    <t>#315</t>
  </si>
  <si>
    <t>#316</t>
  </si>
  <si>
    <t>Swalot</t>
  </si>
  <si>
    <t>#317</t>
  </si>
  <si>
    <t>#318</t>
  </si>
  <si>
    <t>#319</t>
  </si>
  <si>
    <t>#320</t>
  </si>
  <si>
    <t>#321</t>
  </si>
  <si>
    <t>Numel</t>
  </si>
  <si>
    <t>#322</t>
  </si>
  <si>
    <t>Camerupt</t>
  </si>
  <si>
    <t>#323</t>
  </si>
  <si>
    <t>#324</t>
  </si>
  <si>
    <t>#325</t>
  </si>
  <si>
    <t>#326</t>
  </si>
  <si>
    <t>#327</t>
  </si>
  <si>
    <t>#328</t>
  </si>
  <si>
    <t>#329</t>
  </si>
  <si>
    <t>#330</t>
  </si>
  <si>
    <t>#331</t>
  </si>
  <si>
    <t>Cacturne</t>
  </si>
  <si>
    <t>#332</t>
  </si>
  <si>
    <t>#333</t>
  </si>
  <si>
    <t>#334</t>
  </si>
  <si>
    <t>#335</t>
  </si>
  <si>
    <t>#336</t>
  </si>
  <si>
    <t>#337</t>
  </si>
  <si>
    <t>#338</t>
  </si>
  <si>
    <t>#339</t>
  </si>
  <si>
    <t>#340</t>
  </si>
  <si>
    <t>#341</t>
  </si>
  <si>
    <t>#342</t>
  </si>
  <si>
    <t>#343</t>
  </si>
  <si>
    <t>#344</t>
  </si>
  <si>
    <t>#345</t>
  </si>
  <si>
    <t>#346</t>
  </si>
  <si>
    <t>#347</t>
  </si>
  <si>
    <t>#348</t>
  </si>
  <si>
    <t>#349</t>
  </si>
  <si>
    <t>#350</t>
  </si>
  <si>
    <t>#351</t>
  </si>
  <si>
    <t>#352</t>
  </si>
  <si>
    <t>#353</t>
  </si>
  <si>
    <t>#354</t>
  </si>
  <si>
    <t>#355</t>
  </si>
  <si>
    <t>#356</t>
  </si>
  <si>
    <t>#357</t>
  </si>
  <si>
    <t>#358</t>
  </si>
  <si>
    <t>#359</t>
  </si>
  <si>
    <t>#360</t>
  </si>
  <si>
    <t>#361</t>
  </si>
  <si>
    <t>#362</t>
  </si>
  <si>
    <t>#363</t>
  </si>
  <si>
    <t>#364</t>
  </si>
  <si>
    <t>#365</t>
  </si>
  <si>
    <t>#366</t>
  </si>
  <si>
    <t>#367</t>
  </si>
  <si>
    <t>#368</t>
  </si>
  <si>
    <t>Relicanth</t>
  </si>
  <si>
    <t>#369</t>
  </si>
  <si>
    <t>#370</t>
  </si>
  <si>
    <t>#371</t>
  </si>
  <si>
    <t>#372</t>
  </si>
  <si>
    <t>#373</t>
  </si>
  <si>
    <t>#374</t>
  </si>
  <si>
    <t>#375</t>
  </si>
  <si>
    <t>#376</t>
  </si>
  <si>
    <t>#377</t>
  </si>
  <si>
    <t>#378</t>
  </si>
  <si>
    <t>#379</t>
  </si>
  <si>
    <t>#380</t>
  </si>
  <si>
    <t>#381</t>
  </si>
  <si>
    <t>#382</t>
  </si>
  <si>
    <t>#383</t>
  </si>
  <si>
    <t>#384</t>
  </si>
  <si>
    <t>#385</t>
  </si>
  <si>
    <t>Deoxys</t>
  </si>
  <si>
    <t>#386</t>
  </si>
  <si>
    <t>#387</t>
  </si>
  <si>
    <t>#388</t>
  </si>
  <si>
    <t>#389</t>
  </si>
  <si>
    <t>#390</t>
  </si>
  <si>
    <t>#391</t>
  </si>
  <si>
    <t>#392</t>
  </si>
  <si>
    <t>#393</t>
  </si>
  <si>
    <t>#394</t>
  </si>
  <si>
    <t>#395</t>
  </si>
  <si>
    <t>Starly</t>
  </si>
  <si>
    <t>#396</t>
  </si>
  <si>
    <t>Staravia</t>
  </si>
  <si>
    <t>#397</t>
  </si>
  <si>
    <t>#398</t>
  </si>
  <si>
    <t>Bidoof</t>
  </si>
  <si>
    <t>#399</t>
  </si>
  <si>
    <t>#400</t>
  </si>
  <si>
    <t>Kricketot</t>
  </si>
  <si>
    <t>#401</t>
  </si>
  <si>
    <t>Kricketune</t>
  </si>
  <si>
    <t>#402</t>
  </si>
  <si>
    <t>#403</t>
  </si>
  <si>
    <t>#404</t>
  </si>
  <si>
    <t>#405</t>
  </si>
  <si>
    <t>#406</t>
  </si>
  <si>
    <t>#407</t>
  </si>
  <si>
    <t>#408</t>
  </si>
  <si>
    <t>#409</t>
  </si>
  <si>
    <t>#410</t>
  </si>
  <si>
    <t>#411</t>
  </si>
  <si>
    <t>Burmy</t>
  </si>
  <si>
    <t>#412</t>
  </si>
  <si>
    <t>Wormadam</t>
  </si>
  <si>
    <t>#413</t>
  </si>
  <si>
    <t>#414</t>
  </si>
  <si>
    <t>Combee</t>
  </si>
  <si>
    <t>#415</t>
  </si>
  <si>
    <t>#416</t>
  </si>
  <si>
    <t>Pachirisu</t>
  </si>
  <si>
    <t>#417</t>
  </si>
  <si>
    <t>Buizel</t>
  </si>
  <si>
    <t>#418</t>
  </si>
  <si>
    <t>Floatzel</t>
  </si>
  <si>
    <t>#419</t>
  </si>
  <si>
    <t>#420</t>
  </si>
  <si>
    <t>#421</t>
  </si>
  <si>
    <t>#422</t>
  </si>
  <si>
    <t>#423</t>
  </si>
  <si>
    <t>Ambipom</t>
  </si>
  <si>
    <t>#424</t>
  </si>
  <si>
    <t>#425</t>
  </si>
  <si>
    <t>#426</t>
  </si>
  <si>
    <t>#427</t>
  </si>
  <si>
    <t>#428</t>
  </si>
  <si>
    <t>#429</t>
  </si>
  <si>
    <t>#430</t>
  </si>
  <si>
    <t>#431</t>
  </si>
  <si>
    <t>#432</t>
  </si>
  <si>
    <t>#433</t>
  </si>
  <si>
    <t>#434</t>
  </si>
  <si>
    <t>#435</t>
  </si>
  <si>
    <t>https://cdn2.bulbagarden.net/upload/f/f2/Bag_Beast_Ball_Sprite.png</t>
  </si>
  <si>
    <t>#436</t>
  </si>
  <si>
    <t>#437</t>
  </si>
  <si>
    <t>#438</t>
  </si>
  <si>
    <t>#439</t>
  </si>
  <si>
    <t>#440</t>
  </si>
  <si>
    <t>#441</t>
  </si>
  <si>
    <t>#442</t>
  </si>
  <si>
    <t>#443</t>
  </si>
  <si>
    <t>#444</t>
  </si>
  <si>
    <t>#445</t>
  </si>
  <si>
    <t>#446</t>
  </si>
  <si>
    <t>#447</t>
  </si>
  <si>
    <t>#448</t>
  </si>
  <si>
    <t>#449</t>
  </si>
  <si>
    <t>#450</t>
  </si>
  <si>
    <t>#451</t>
  </si>
  <si>
    <t>#452</t>
  </si>
  <si>
    <t>Croagunk</t>
  </si>
  <si>
    <t>#453</t>
  </si>
  <si>
    <t>Toxicroak</t>
  </si>
  <si>
    <t>#454</t>
  </si>
  <si>
    <t>#455</t>
  </si>
  <si>
    <t>Finneon</t>
  </si>
  <si>
    <t>#456</t>
  </si>
  <si>
    <t>Lumineon</t>
  </si>
  <si>
    <t>#457</t>
  </si>
  <si>
    <t>#458</t>
  </si>
  <si>
    <t>Snover</t>
  </si>
  <si>
    <t>#459</t>
  </si>
  <si>
    <t>Abomasnow</t>
  </si>
  <si>
    <t>#460</t>
  </si>
  <si>
    <t>Weavile</t>
  </si>
  <si>
    <t>#461</t>
  </si>
  <si>
    <t>#462</t>
  </si>
  <si>
    <t>#463</t>
  </si>
  <si>
    <t>#464</t>
  </si>
  <si>
    <t>Tangrowth</t>
  </si>
  <si>
    <t>#465</t>
  </si>
  <si>
    <t>#466</t>
  </si>
  <si>
    <t>#467</t>
  </si>
  <si>
    <t>#468</t>
  </si>
  <si>
    <t>#469</t>
  </si>
  <si>
    <t>#470</t>
  </si>
  <si>
    <t>#471</t>
  </si>
  <si>
    <t>#472</t>
  </si>
  <si>
    <t>Mamoswine</t>
  </si>
  <si>
    <t>#473</t>
  </si>
  <si>
    <t>#474</t>
  </si>
  <si>
    <t>#475</t>
  </si>
  <si>
    <t>#476</t>
  </si>
  <si>
    <t>#477</t>
  </si>
  <si>
    <t>#478</t>
  </si>
  <si>
    <t>#479</t>
  </si>
  <si>
    <t>#480</t>
  </si>
  <si>
    <t>#481</t>
  </si>
  <si>
    <t>#482</t>
  </si>
  <si>
    <t>#483</t>
  </si>
  <si>
    <t>#484</t>
  </si>
  <si>
    <t>#485</t>
  </si>
  <si>
    <t>#486</t>
  </si>
  <si>
    <t>#487</t>
  </si>
  <si>
    <t>#488</t>
  </si>
  <si>
    <t>#489</t>
  </si>
  <si>
    <t>#490</t>
  </si>
  <si>
    <t>#491</t>
  </si>
  <si>
    <t>#492</t>
  </si>
  <si>
    <t>#493</t>
  </si>
  <si>
    <t>#494</t>
  </si>
  <si>
    <t>#495</t>
  </si>
  <si>
    <t>#496</t>
  </si>
  <si>
    <t>#497</t>
  </si>
  <si>
    <t>#498</t>
  </si>
  <si>
    <t>#499</t>
  </si>
  <si>
    <t>#500</t>
  </si>
  <si>
    <t>#501</t>
  </si>
  <si>
    <t>#502</t>
  </si>
  <si>
    <t>#503</t>
  </si>
  <si>
    <t>#504</t>
  </si>
  <si>
    <t>#505</t>
  </si>
  <si>
    <t>#506</t>
  </si>
  <si>
    <t>#507</t>
  </si>
  <si>
    <t>#508</t>
  </si>
  <si>
    <t>#509</t>
  </si>
  <si>
    <t>#510</t>
  </si>
  <si>
    <t>#511</t>
  </si>
  <si>
    <t>#512</t>
  </si>
  <si>
    <t>#513</t>
  </si>
  <si>
    <t>#514</t>
  </si>
  <si>
    <t>#515</t>
  </si>
  <si>
    <t>#516</t>
  </si>
  <si>
    <t>#517</t>
  </si>
  <si>
    <t>#518</t>
  </si>
  <si>
    <t>#519</t>
  </si>
  <si>
    <t>#520</t>
  </si>
  <si>
    <t>Unfezant</t>
  </si>
  <si>
    <t>#521</t>
  </si>
  <si>
    <t>#522</t>
  </si>
  <si>
    <t>#523</t>
  </si>
  <si>
    <t>#524</t>
  </si>
  <si>
    <t>#525</t>
  </si>
  <si>
    <t>#526</t>
  </si>
  <si>
    <t>#527</t>
  </si>
  <si>
    <t>#528</t>
  </si>
  <si>
    <t>#529</t>
  </si>
  <si>
    <t>#530</t>
  </si>
  <si>
    <t>#531</t>
  </si>
  <si>
    <t>#532</t>
  </si>
  <si>
    <t>#533</t>
  </si>
  <si>
    <t>#534</t>
  </si>
  <si>
    <t>#535</t>
  </si>
  <si>
    <t>#536</t>
  </si>
  <si>
    <t>Siesmitoad</t>
  </si>
  <si>
    <t>#537</t>
  </si>
  <si>
    <t>#538</t>
  </si>
  <si>
    <t>#539</t>
  </si>
  <si>
    <t>#540</t>
  </si>
  <si>
    <t>#541</t>
  </si>
  <si>
    <t>#542</t>
  </si>
  <si>
    <t>#543</t>
  </si>
  <si>
    <t>#544</t>
  </si>
  <si>
    <t>#545</t>
  </si>
  <si>
    <t>#546</t>
  </si>
  <si>
    <t>#547</t>
  </si>
  <si>
    <t>#548</t>
  </si>
  <si>
    <t>#549</t>
  </si>
  <si>
    <t>#550</t>
  </si>
  <si>
    <t>#551</t>
  </si>
  <si>
    <t>#552</t>
  </si>
  <si>
    <t>#553</t>
  </si>
  <si>
    <t>#554</t>
  </si>
  <si>
    <t>#555</t>
  </si>
  <si>
    <t>#556</t>
  </si>
  <si>
    <t>#557</t>
  </si>
  <si>
    <t>#558</t>
  </si>
  <si>
    <t>#559</t>
  </si>
  <si>
    <t>Scafty</t>
  </si>
  <si>
    <t>#560</t>
  </si>
  <si>
    <t>#561</t>
  </si>
  <si>
    <t>#562</t>
  </si>
  <si>
    <t>#563</t>
  </si>
  <si>
    <t>#564</t>
  </si>
  <si>
    <t>#565</t>
  </si>
  <si>
    <t>#566</t>
  </si>
  <si>
    <t>#567</t>
  </si>
  <si>
    <t>#568</t>
  </si>
  <si>
    <t>#569</t>
  </si>
  <si>
    <t>#570</t>
  </si>
  <si>
    <t>#571</t>
  </si>
  <si>
    <t>#572</t>
  </si>
  <si>
    <t>Cincinno</t>
  </si>
  <si>
    <t>#573</t>
  </si>
  <si>
    <t>#574</t>
  </si>
  <si>
    <t>#575</t>
  </si>
  <si>
    <t>#576</t>
  </si>
  <si>
    <t>#577</t>
  </si>
  <si>
    <t>#578</t>
  </si>
  <si>
    <t>#579</t>
  </si>
  <si>
    <t>#580</t>
  </si>
  <si>
    <t>#581</t>
  </si>
  <si>
    <t>#582</t>
  </si>
  <si>
    <t>#583</t>
  </si>
  <si>
    <t>#584</t>
  </si>
  <si>
    <t>Deerling</t>
  </si>
  <si>
    <t>#585</t>
  </si>
  <si>
    <t>Sawsbuck</t>
  </si>
  <si>
    <t>#586</t>
  </si>
  <si>
    <t>#587</t>
  </si>
  <si>
    <t>#588</t>
  </si>
  <si>
    <t>Excavalier</t>
  </si>
  <si>
    <t>#589</t>
  </si>
  <si>
    <t>#590</t>
  </si>
  <si>
    <t>#591</t>
  </si>
  <si>
    <t>Frillish</t>
  </si>
  <si>
    <t>#592</t>
  </si>
  <si>
    <t>Jellicent</t>
  </si>
  <si>
    <t>#593</t>
  </si>
  <si>
    <t>#594</t>
  </si>
  <si>
    <t>#595</t>
  </si>
  <si>
    <t>#596</t>
  </si>
  <si>
    <t>#597</t>
  </si>
  <si>
    <t>#598</t>
  </si>
  <si>
    <t>#599</t>
  </si>
  <si>
    <t>#600</t>
  </si>
  <si>
    <t>#601</t>
  </si>
  <si>
    <t>#602</t>
  </si>
  <si>
    <t>#603</t>
  </si>
  <si>
    <t>#604</t>
  </si>
  <si>
    <t>#605</t>
  </si>
  <si>
    <t>#606</t>
  </si>
  <si>
    <t>#607</t>
  </si>
  <si>
    <t>#608</t>
  </si>
  <si>
    <t>#609</t>
  </si>
  <si>
    <t>#610</t>
  </si>
  <si>
    <t>#611</t>
  </si>
  <si>
    <t>#612</t>
  </si>
  <si>
    <t>#613</t>
  </si>
  <si>
    <t>#614</t>
  </si>
  <si>
    <t>#615</t>
  </si>
  <si>
    <t>#616</t>
  </si>
  <si>
    <t>#617</t>
  </si>
  <si>
    <t>#618</t>
  </si>
  <si>
    <t>#619</t>
  </si>
  <si>
    <t>#620</t>
  </si>
  <si>
    <t>#621</t>
  </si>
  <si>
    <t>#622</t>
  </si>
  <si>
    <t>#623</t>
  </si>
  <si>
    <t>#624</t>
  </si>
  <si>
    <t>#625</t>
  </si>
  <si>
    <t>#626</t>
  </si>
  <si>
    <t>#627</t>
  </si>
  <si>
    <t>#628</t>
  </si>
  <si>
    <t>#629</t>
  </si>
  <si>
    <t>#630</t>
  </si>
  <si>
    <t>#631</t>
  </si>
  <si>
    <t>#632</t>
  </si>
  <si>
    <t>#633</t>
  </si>
  <si>
    <t>#634</t>
  </si>
  <si>
    <t>#635</t>
  </si>
  <si>
    <t>#636</t>
  </si>
  <si>
    <t>#637</t>
  </si>
  <si>
    <t>#638</t>
  </si>
  <si>
    <t>#639</t>
  </si>
  <si>
    <t xml:space="preserve">Virizion </t>
  </si>
  <si>
    <t>#640</t>
  </si>
  <si>
    <t>Tornadus</t>
  </si>
  <si>
    <t>#641</t>
  </si>
  <si>
    <t>Thundurus</t>
  </si>
  <si>
    <t>#642</t>
  </si>
  <si>
    <t>Reshiram</t>
  </si>
  <si>
    <t>#643</t>
  </si>
  <si>
    <t>#644</t>
  </si>
  <si>
    <t>#645</t>
  </si>
  <si>
    <t>#646</t>
  </si>
  <si>
    <t>Keldeo</t>
  </si>
  <si>
    <t>#647</t>
  </si>
  <si>
    <t>Meloette</t>
  </si>
  <si>
    <t>#648</t>
  </si>
  <si>
    <t>#649</t>
  </si>
  <si>
    <t>#650</t>
  </si>
  <si>
    <t>#651</t>
  </si>
  <si>
    <t>#652</t>
  </si>
  <si>
    <t>#653</t>
  </si>
  <si>
    <t>#654</t>
  </si>
  <si>
    <t>#655</t>
  </si>
  <si>
    <t>#656</t>
  </si>
  <si>
    <t>#657</t>
  </si>
  <si>
    <t>#658</t>
  </si>
  <si>
    <t>#659</t>
  </si>
  <si>
    <t>#660</t>
  </si>
  <si>
    <t>#661</t>
  </si>
  <si>
    <t>#662</t>
  </si>
  <si>
    <t>#663</t>
  </si>
  <si>
    <t>#664</t>
  </si>
  <si>
    <t>#665</t>
  </si>
  <si>
    <t>Vivillon</t>
  </si>
  <si>
    <t>#666</t>
  </si>
  <si>
    <t>#667</t>
  </si>
  <si>
    <t>Pyroar</t>
  </si>
  <si>
    <t>#668</t>
  </si>
  <si>
    <t>Flabebe</t>
  </si>
  <si>
    <t>#669</t>
  </si>
  <si>
    <t>Floette</t>
  </si>
  <si>
    <t>#670</t>
  </si>
  <si>
    <t>Florges</t>
  </si>
  <si>
    <t>#671</t>
  </si>
  <si>
    <t>#672</t>
  </si>
  <si>
    <t>#673</t>
  </si>
  <si>
    <t>#674</t>
  </si>
  <si>
    <t>#675</t>
  </si>
  <si>
    <t>Furfrou</t>
  </si>
  <si>
    <t>#676</t>
  </si>
  <si>
    <t>#677</t>
  </si>
  <si>
    <t>Meowstic</t>
  </si>
  <si>
    <t>#678</t>
  </si>
  <si>
    <t>#679</t>
  </si>
  <si>
    <t>#680</t>
  </si>
  <si>
    <t>#681</t>
  </si>
  <si>
    <t>#682</t>
  </si>
  <si>
    <t>#683</t>
  </si>
  <si>
    <t>#684</t>
  </si>
  <si>
    <t>#685</t>
  </si>
  <si>
    <t>#686</t>
  </si>
  <si>
    <t>#687</t>
  </si>
  <si>
    <t>#688</t>
  </si>
  <si>
    <t>#689</t>
  </si>
  <si>
    <t>#690</t>
  </si>
  <si>
    <t>#691</t>
  </si>
  <si>
    <t>#692</t>
  </si>
  <si>
    <t>#693</t>
  </si>
  <si>
    <t>#694</t>
  </si>
  <si>
    <t>#695</t>
  </si>
  <si>
    <t>#696</t>
  </si>
  <si>
    <t>#697</t>
  </si>
  <si>
    <t>#698</t>
  </si>
  <si>
    <t>#699</t>
  </si>
  <si>
    <t>#700</t>
  </si>
  <si>
    <t>#701</t>
  </si>
  <si>
    <t>#702</t>
  </si>
  <si>
    <t>#703</t>
  </si>
  <si>
    <t>#704</t>
  </si>
  <si>
    <t>#705</t>
  </si>
  <si>
    <t>#706</t>
  </si>
  <si>
    <t>#707</t>
  </si>
  <si>
    <t>#708</t>
  </si>
  <si>
    <t>#709</t>
  </si>
  <si>
    <t>Pumpkaboo</t>
  </si>
  <si>
    <t>#710</t>
  </si>
  <si>
    <t>Gourgeist</t>
  </si>
  <si>
    <t>#711</t>
  </si>
  <si>
    <t>#712</t>
  </si>
  <si>
    <t>#713</t>
  </si>
  <si>
    <t>#714</t>
  </si>
  <si>
    <t>#715</t>
  </si>
  <si>
    <t>Xerneas</t>
  </si>
  <si>
    <t>#716</t>
  </si>
  <si>
    <t>#717</t>
  </si>
  <si>
    <t>Zygarde</t>
  </si>
  <si>
    <t>#718</t>
  </si>
  <si>
    <t>#719</t>
  </si>
  <si>
    <t>Hoopa</t>
  </si>
  <si>
    <t>#720</t>
  </si>
  <si>
    <t>#721</t>
  </si>
  <si>
    <t>#722</t>
  </si>
  <si>
    <t>#723</t>
  </si>
  <si>
    <t>#724</t>
  </si>
  <si>
    <t>#725</t>
  </si>
  <si>
    <t>#726</t>
  </si>
  <si>
    <t>#727</t>
  </si>
  <si>
    <t>#728</t>
  </si>
  <si>
    <t>#729</t>
  </si>
  <si>
    <t>#730</t>
  </si>
  <si>
    <t>#731</t>
  </si>
  <si>
    <t>#732</t>
  </si>
  <si>
    <t>#733</t>
  </si>
  <si>
    <t>#734</t>
  </si>
  <si>
    <t>#735</t>
  </si>
  <si>
    <t>#736</t>
  </si>
  <si>
    <t>#737</t>
  </si>
  <si>
    <t>#738</t>
  </si>
  <si>
    <t>#739</t>
  </si>
  <si>
    <t>#740</t>
  </si>
  <si>
    <t>Oricorio</t>
  </si>
  <si>
    <t>#741</t>
  </si>
  <si>
    <t>#742</t>
  </si>
  <si>
    <t>#743</t>
  </si>
  <si>
    <t>#744</t>
  </si>
  <si>
    <t>Lycanroc</t>
  </si>
  <si>
    <t>#745</t>
  </si>
  <si>
    <t>#746</t>
  </si>
  <si>
    <t>#747</t>
  </si>
  <si>
    <t>#748</t>
  </si>
  <si>
    <t>#749</t>
  </si>
  <si>
    <t>#750</t>
  </si>
  <si>
    <t>#751</t>
  </si>
  <si>
    <t>#752</t>
  </si>
  <si>
    <t>#753</t>
  </si>
  <si>
    <t>#754</t>
  </si>
  <si>
    <t>#755</t>
  </si>
  <si>
    <t>#756</t>
  </si>
  <si>
    <t>#757</t>
  </si>
  <si>
    <t>#758</t>
  </si>
  <si>
    <t>#759</t>
  </si>
  <si>
    <t>#760</t>
  </si>
  <si>
    <t>#761</t>
  </si>
  <si>
    <t>#762</t>
  </si>
  <si>
    <t>#763</t>
  </si>
  <si>
    <t>#764</t>
  </si>
  <si>
    <t>#765</t>
  </si>
  <si>
    <t>#766</t>
  </si>
  <si>
    <t>#767</t>
  </si>
  <si>
    <t>#768</t>
  </si>
  <si>
    <t>#769</t>
  </si>
  <si>
    <t>#770</t>
  </si>
  <si>
    <t>#771</t>
  </si>
  <si>
    <t>#772</t>
  </si>
  <si>
    <t>#773</t>
  </si>
  <si>
    <t xml:space="preserve">Minior </t>
  </si>
  <si>
    <t>#774</t>
  </si>
  <si>
    <t>#775</t>
  </si>
  <si>
    <t>#776</t>
  </si>
  <si>
    <t>#777</t>
  </si>
  <si>
    <t>#778</t>
  </si>
  <si>
    <t>#779</t>
  </si>
  <si>
    <t>#780</t>
  </si>
  <si>
    <t>#781</t>
  </si>
  <si>
    <t>#782</t>
  </si>
  <si>
    <t>#783</t>
  </si>
  <si>
    <t>#784</t>
  </si>
  <si>
    <t>#785</t>
  </si>
  <si>
    <t>#786</t>
  </si>
  <si>
    <t>#787</t>
  </si>
  <si>
    <t>#788</t>
  </si>
  <si>
    <t>#789</t>
  </si>
  <si>
    <t>#790</t>
  </si>
  <si>
    <t>#791</t>
  </si>
  <si>
    <t>#792</t>
  </si>
  <si>
    <t>#793</t>
  </si>
  <si>
    <t>#794</t>
  </si>
  <si>
    <t>#795</t>
  </si>
  <si>
    <t>#796</t>
  </si>
  <si>
    <t>#797</t>
  </si>
  <si>
    <t>#798</t>
  </si>
  <si>
    <t>#799</t>
  </si>
  <si>
    <t>#800</t>
  </si>
  <si>
    <t>#801</t>
  </si>
  <si>
    <t>#802</t>
  </si>
  <si>
    <t>#803</t>
  </si>
  <si>
    <t>#804</t>
  </si>
  <si>
    <t>#805</t>
  </si>
  <si>
    <t>#806</t>
  </si>
  <si>
    <t>#807</t>
  </si>
  <si>
    <t>#808</t>
  </si>
  <si>
    <t>#809</t>
  </si>
  <si>
    <t xml:space="preserve">Grookey </t>
  </si>
  <si>
    <t>#810</t>
  </si>
  <si>
    <t>#811</t>
  </si>
  <si>
    <t>#812</t>
  </si>
  <si>
    <t>#813</t>
  </si>
  <si>
    <t>#814</t>
  </si>
  <si>
    <t>#815</t>
  </si>
  <si>
    <t>#816</t>
  </si>
  <si>
    <t>#817</t>
  </si>
  <si>
    <t>#818</t>
  </si>
  <si>
    <t>#819</t>
  </si>
  <si>
    <t>#820</t>
  </si>
  <si>
    <t>#821</t>
  </si>
  <si>
    <t>#822</t>
  </si>
  <si>
    <t>#823</t>
  </si>
  <si>
    <t>#824</t>
  </si>
  <si>
    <t>#825</t>
  </si>
  <si>
    <t>#826</t>
  </si>
  <si>
    <t>#827</t>
  </si>
  <si>
    <t>#828</t>
  </si>
  <si>
    <t>#829</t>
  </si>
  <si>
    <t>#830</t>
  </si>
  <si>
    <t>#831</t>
  </si>
  <si>
    <t>#832</t>
  </si>
  <si>
    <t xml:space="preserve">
</t>
  </si>
  <si>
    <t>#833</t>
  </si>
  <si>
    <t>#834</t>
  </si>
  <si>
    <t>#835</t>
  </si>
  <si>
    <t>#836</t>
  </si>
  <si>
    <t>#837</t>
  </si>
  <si>
    <t>#838</t>
  </si>
  <si>
    <t>#839</t>
  </si>
  <si>
    <t>#840</t>
  </si>
  <si>
    <t>#841</t>
  </si>
  <si>
    <t>#842</t>
  </si>
  <si>
    <t>#843</t>
  </si>
  <si>
    <t>#844</t>
  </si>
  <si>
    <t>#845</t>
  </si>
  <si>
    <t>#846</t>
  </si>
  <si>
    <t>#847</t>
  </si>
  <si>
    <t>#848</t>
  </si>
  <si>
    <t>#849</t>
  </si>
  <si>
    <t>#850</t>
  </si>
  <si>
    <t>#851</t>
  </si>
  <si>
    <t>#852</t>
  </si>
  <si>
    <t>#853</t>
  </si>
  <si>
    <t>Sinistea</t>
  </si>
  <si>
    <t>#854</t>
  </si>
  <si>
    <t>Polteageist</t>
  </si>
  <si>
    <t>#855</t>
  </si>
  <si>
    <t>#856</t>
  </si>
  <si>
    <t>#857</t>
  </si>
  <si>
    <t>#858</t>
  </si>
  <si>
    <t>#859</t>
  </si>
  <si>
    <t>#860</t>
  </si>
  <si>
    <t>#861</t>
  </si>
  <si>
    <t>#862</t>
  </si>
  <si>
    <t>#863</t>
  </si>
  <si>
    <t>#864</t>
  </si>
  <si>
    <t>Sirfetch'd</t>
  </si>
  <si>
    <t>#865</t>
  </si>
  <si>
    <t>#866</t>
  </si>
  <si>
    <t>#867</t>
  </si>
  <si>
    <t>#868</t>
  </si>
  <si>
    <t>Alcremie</t>
  </si>
  <si>
    <t>#869</t>
  </si>
  <si>
    <t>#870</t>
  </si>
  <si>
    <t>#871</t>
  </si>
  <si>
    <t>#872</t>
  </si>
  <si>
    <t>#873</t>
  </si>
  <si>
    <t>#874</t>
  </si>
  <si>
    <t>#875</t>
  </si>
  <si>
    <t>Indeedee</t>
  </si>
  <si>
    <t>#876</t>
  </si>
  <si>
    <t>#877</t>
  </si>
  <si>
    <t>#878</t>
  </si>
  <si>
    <t>#879</t>
  </si>
  <si>
    <t>#880</t>
  </si>
  <si>
    <t>#881</t>
  </si>
  <si>
    <t>#882</t>
  </si>
  <si>
    <t>#883</t>
  </si>
  <si>
    <t>#884</t>
  </si>
  <si>
    <t>#885</t>
  </si>
  <si>
    <t>#886</t>
  </si>
  <si>
    <t>#887</t>
  </si>
  <si>
    <t>#888</t>
  </si>
  <si>
    <t>#889</t>
  </si>
  <si>
    <t>#890</t>
  </si>
  <si>
    <t>#891</t>
  </si>
  <si>
    <t>Urshifu</t>
  </si>
  <si>
    <t>#892</t>
  </si>
  <si>
    <t>#893</t>
  </si>
  <si>
    <t>#894</t>
  </si>
  <si>
    <t>#895</t>
  </si>
  <si>
    <t>#896</t>
  </si>
  <si>
    <t>#897</t>
  </si>
  <si>
    <t>#898</t>
  </si>
  <si>
    <t>#899</t>
  </si>
  <si>
    <t>#900</t>
  </si>
  <si>
    <t>#901</t>
  </si>
  <si>
    <t>Basculegion</t>
  </si>
  <si>
    <t>#902</t>
  </si>
  <si>
    <t>#903</t>
  </si>
  <si>
    <t>Overquil</t>
  </si>
  <si>
    <t>#904</t>
  </si>
  <si>
    <t>Enamorus</t>
  </si>
  <si>
    <t>#905</t>
  </si>
  <si>
    <t>NdexNo</t>
  </si>
  <si>
    <t>Unova</t>
  </si>
  <si>
    <t>Gender</t>
  </si>
  <si>
    <t>Oinkologne</t>
  </si>
  <si>
    <t>Fineon</t>
  </si>
  <si>
    <t>Hisuian Sneasel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</si>
</sst>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.5"/>
      <color rgb="FF92D050"/>
      <name val="Arial"/>
      <charset val="134"/>
    </font>
    <font>
      <b/>
      <sz val="9.5"/>
      <color theme="0"/>
      <name val="Arial"/>
      <charset val="134"/>
    </font>
    <font>
      <sz val="9.5"/>
      <color theme="1"/>
      <name val="Arial"/>
      <charset val="134"/>
    </font>
    <font>
      <sz val="9.5"/>
      <color rgb="FF000000"/>
      <name val="Arial"/>
      <charset val="134"/>
    </font>
    <font>
      <sz val="9.5"/>
      <name val="Arial"/>
      <charset val="134"/>
    </font>
    <font>
      <b/>
      <sz val="16"/>
      <color theme="1"/>
      <name val="Merriweather"/>
    </font>
    <font>
      <u/>
      <sz val="10"/>
      <color rgb="FF1155CC"/>
      <name val="Calibri"/>
      <scheme val="minor"/>
    </font>
    <font>
      <sz val="10"/>
      <color theme="1"/>
      <name val="Calibri"/>
      <scheme val="minor"/>
    </font>
    <font>
      <sz val="14"/>
      <color theme="1"/>
      <name val="Verdana"/>
    </font>
    <font>
      <sz val="11"/>
      <color rgb="FF000000"/>
      <name val="Inconsolata"/>
    </font>
    <font>
      <b/>
      <sz val="12"/>
      <color theme="1"/>
      <name val="Arial"/>
    </font>
    <font>
      <b/>
      <sz val="12"/>
      <color theme="1"/>
      <name val="Calibri"/>
      <scheme val="minor"/>
    </font>
    <font>
      <sz val="14"/>
      <color rgb="FF000000"/>
      <name val="Verdana"/>
    </font>
    <font>
      <b/>
      <sz val="12"/>
      <color rgb="FF000000"/>
      <name val="Calibri"/>
      <scheme val="minor"/>
    </font>
    <font>
      <sz val="14"/>
      <color rgb="FF4A86E8"/>
      <name val="Verdana"/>
    </font>
    <font>
      <b/>
      <sz val="12"/>
      <color rgb="FF000000"/>
      <name val="Arial"/>
    </font>
    <font>
      <b/>
      <sz val="14"/>
      <color rgb="FF9900FF"/>
      <name val="Calibri"/>
      <scheme val="minor"/>
    </font>
    <font>
      <sz val="14"/>
      <color rgb="FFFF0000"/>
      <name val="Verdana"/>
    </font>
    <font>
      <sz val="14"/>
      <color rgb="FF00FF00"/>
      <name val="Verdana"/>
    </font>
    <font>
      <u/>
      <sz val="10"/>
      <color rgb="FF1155CC"/>
      <name val="Arial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3">
    <xf numFmtId="0" fontId="0" fillId="0" borderId="0" xfId="0"/>
    <xf numFmtId="14" fontId="0" fillId="0" borderId="0" xfId="0" applyNumberFormat="1"/>
    <xf numFmtId="3" fontId="0" fillId="0" borderId="0" xfId="0" applyNumberFormat="1"/>
    <xf numFmtId="0" fontId="18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0" xfId="0" applyFont="1"/>
    <xf numFmtId="0" fontId="21" fillId="34" borderId="10" xfId="0" applyFont="1" applyFill="1" applyBorder="1" applyAlignment="1">
      <alignment wrapText="1"/>
    </xf>
    <xf numFmtId="0" fontId="21" fillId="34" borderId="10" xfId="0" applyFont="1" applyFill="1" applyBorder="1" applyAlignment="1">
      <alignment horizontal="center" wrapText="1"/>
    </xf>
    <xf numFmtId="0" fontId="21" fillId="35" borderId="10" xfId="0" applyFont="1" applyFill="1" applyBorder="1" applyAlignment="1">
      <alignment wrapText="1"/>
    </xf>
    <xf numFmtId="0" fontId="21" fillId="35" borderId="10" xfId="0" applyFont="1" applyFill="1" applyBorder="1" applyAlignment="1">
      <alignment horizontal="center" wrapText="1"/>
    </xf>
    <xf numFmtId="0" fontId="22" fillId="35" borderId="10" xfId="0" applyFont="1" applyFill="1" applyBorder="1" applyAlignment="1">
      <alignment wrapText="1"/>
    </xf>
    <xf numFmtId="0" fontId="21" fillId="0" borderId="10" xfId="0" applyFont="1" applyBorder="1" applyAlignment="1">
      <alignment wrapText="1"/>
    </xf>
    <xf numFmtId="0" fontId="21" fillId="0" borderId="10" xfId="0" applyFont="1" applyBorder="1" applyAlignment="1">
      <alignment horizontal="center" wrapText="1"/>
    </xf>
    <xf numFmtId="0" fontId="22" fillId="34" borderId="10" xfId="0" applyFont="1" applyFill="1" applyBorder="1" applyAlignment="1">
      <alignment wrapText="1"/>
    </xf>
    <xf numFmtId="0" fontId="20" fillId="0" borderId="0" xfId="0" applyFont="1" applyAlignment="1">
      <alignment horizontal="center"/>
    </xf>
    <xf numFmtId="0" fontId="23" fillId="36" borderId="11" xfId="0" applyFont="1" applyFill="1" applyBorder="1" applyAlignment="1">
      <alignment horizontal="center" vertical="center"/>
    </xf>
    <xf numFmtId="0" fontId="23" fillId="36" borderId="12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37" borderId="0" xfId="0" applyFont="1" applyFill="1" applyAlignment="1">
      <alignment horizontal="center"/>
    </xf>
    <xf numFmtId="0" fontId="27" fillId="37" borderId="0" xfId="0" applyFont="1" applyFill="1" applyAlignment="1">
      <alignment horizontal="center" vertical="center"/>
    </xf>
    <xf numFmtId="0" fontId="24" fillId="0" borderId="0" xfId="0" applyFont="1" applyAlignment="1">
      <alignment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0" fontId="29" fillId="38" borderId="0" xfId="0" applyFont="1" applyFill="1" applyAlignment="1">
      <alignment horizontal="center" vertical="center"/>
    </xf>
    <xf numFmtId="0" fontId="25" fillId="38" borderId="0" xfId="0" applyFont="1" applyFill="1" applyAlignment="1">
      <alignment horizontal="center" vertical="center"/>
    </xf>
    <xf numFmtId="4" fontId="26" fillId="38" borderId="0" xfId="0" applyNumberFormat="1" applyFont="1" applyFill="1" applyAlignment="1">
      <alignment horizontal="center" vertical="center"/>
    </xf>
    <xf numFmtId="4" fontId="26" fillId="0" borderId="0" xfId="0" applyNumberFormat="1" applyFont="1" applyAlignment="1">
      <alignment horizontal="center" vertical="center"/>
    </xf>
    <xf numFmtId="3" fontId="30" fillId="38" borderId="0" xfId="0" applyNumberFormat="1" applyFont="1" applyFill="1" applyAlignment="1">
      <alignment horizontal="center" vertical="center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wrapText="1"/>
    </xf>
    <xf numFmtId="0" fontId="31" fillId="38" borderId="0" xfId="0" applyFont="1" applyFill="1" applyAlignment="1">
      <alignment horizontal="center" vertical="center"/>
    </xf>
    <xf numFmtId="3" fontId="32" fillId="38" borderId="0" xfId="0" applyNumberFormat="1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0" fontId="29" fillId="39" borderId="0" xfId="0" applyFont="1" applyFill="1" applyAlignment="1">
      <alignment horizontal="center" vertical="center" wrapText="1"/>
    </xf>
    <xf numFmtId="0" fontId="29" fillId="39" borderId="0" xfId="0" applyFont="1" applyFill="1" applyAlignment="1">
      <alignment horizontal="center" vertical="center"/>
    </xf>
    <xf numFmtId="0" fontId="24" fillId="39" borderId="0" xfId="0" applyFont="1" applyFill="1" applyAlignment="1">
      <alignment horizontal="center" vertical="center"/>
    </xf>
    <xf numFmtId="3" fontId="26" fillId="39" borderId="0" xfId="0" applyNumberFormat="1" applyFont="1" applyFill="1" applyAlignment="1">
      <alignment horizontal="center" vertical="center"/>
    </xf>
    <xf numFmtId="0" fontId="27" fillId="0" borderId="0" xfId="0" applyFont="1"/>
    <xf numFmtId="3" fontId="32" fillId="39" borderId="0" xfId="0" applyNumberFormat="1" applyFont="1" applyFill="1" applyAlignment="1">
      <alignment horizontal="center" vertical="center"/>
    </xf>
    <xf numFmtId="0" fontId="25" fillId="39" borderId="0" xfId="0" applyFont="1" applyFill="1" applyAlignment="1">
      <alignment horizontal="center" vertical="center"/>
    </xf>
    <xf numFmtId="4" fontId="26" fillId="39" borderId="0" xfId="0" applyNumberFormat="1" applyFont="1" applyFill="1" applyAlignment="1">
      <alignment horizontal="center" vertical="center"/>
    </xf>
    <xf numFmtId="0" fontId="25" fillId="0" borderId="0" xfId="0" applyFont="1"/>
    <xf numFmtId="0" fontId="34" fillId="38" borderId="0" xfId="0" applyFont="1" applyFill="1" applyAlignment="1">
      <alignment horizontal="center" vertical="center"/>
    </xf>
    <xf numFmtId="0" fontId="26" fillId="39" borderId="0" xfId="0" applyFont="1" applyFill="1" applyAlignment="1">
      <alignment horizontal="center" vertical="center" wrapText="1"/>
    </xf>
    <xf numFmtId="0" fontId="26" fillId="38" borderId="0" xfId="0" applyFont="1" applyFill="1" applyAlignment="1">
      <alignment horizontal="center" vertical="center"/>
    </xf>
    <xf numFmtId="0" fontId="28" fillId="39" borderId="0" xfId="0" applyFont="1" applyFill="1" applyAlignment="1">
      <alignment horizontal="center" vertical="center"/>
    </xf>
    <xf numFmtId="3" fontId="35" fillId="38" borderId="0" xfId="0" applyNumberFormat="1" applyFont="1" applyFill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6" fillId="0" borderId="0" xfId="0" applyNumberFormat="1" applyFont="1" applyAlignment="1">
      <alignment horizontal="center" vertical="center"/>
    </xf>
    <xf numFmtId="0" fontId="37" fillId="0" borderId="0" xfId="0" applyFont="1"/>
    <xf numFmtId="0" fontId="27" fillId="37" borderId="0" xfId="0" applyFont="1" applyFill="1"/>
    <xf numFmtId="4" fontId="26" fillId="0" borderId="0" xfId="0" applyNumberFormat="1" applyFont="1"/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5" fillId="40" borderId="0" xfId="0" applyFont="1" applyFill="1" applyAlignment="1">
      <alignment horizontal="center" vertical="center"/>
    </xf>
    <xf numFmtId="4" fontId="26" fillId="40" borderId="0" xfId="0" applyNumberFormat="1" applyFont="1" applyFill="1" applyAlignment="1">
      <alignment horizontal="center" vertical="center"/>
    </xf>
    <xf numFmtId="0" fontId="25" fillId="40" borderId="0" xfId="0" applyFont="1" applyFill="1"/>
    <xf numFmtId="0" fontId="2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dn2.bulbagarden.net/upload/f/f2/Bag_Beast_Ball_Sprit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90970-4C3F-4406-BD7E-C02BBCF605BE}">
  <dimension ref="A1:Q180"/>
  <sheetViews>
    <sheetView workbookViewId="0">
      <selection activeCell="F4" sqref="F4"/>
    </sheetView>
  </sheetViews>
  <sheetFormatPr defaultRowHeight="14.5"/>
  <cols>
    <col min="1" max="1" width="8.26953125" bestFit="1" customWidth="1"/>
    <col min="3" max="3" width="11.269531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2559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>
        <v>1</v>
      </c>
      <c r="B2">
        <v>245</v>
      </c>
      <c r="C2" t="s">
        <v>248</v>
      </c>
      <c r="G2" t="s">
        <v>178</v>
      </c>
      <c r="H2" t="s">
        <v>136</v>
      </c>
      <c r="I2" s="1">
        <v>40596</v>
      </c>
      <c r="J2" t="s">
        <v>136</v>
      </c>
      <c r="L2" t="s">
        <v>64</v>
      </c>
      <c r="P2" t="s">
        <v>20</v>
      </c>
    </row>
    <row r="3" spans="1:16">
      <c r="A3">
        <v>2</v>
      </c>
      <c r="B3">
        <v>246</v>
      </c>
      <c r="C3" t="s">
        <v>249</v>
      </c>
      <c r="G3" t="s">
        <v>250</v>
      </c>
      <c r="H3" t="s">
        <v>136</v>
      </c>
      <c r="I3" s="1">
        <v>41091</v>
      </c>
      <c r="J3" t="s">
        <v>136</v>
      </c>
      <c r="L3" t="s">
        <v>34</v>
      </c>
      <c r="P3" t="s">
        <v>20</v>
      </c>
    </row>
    <row r="4" spans="1:16">
      <c r="A4">
        <v>3</v>
      </c>
      <c r="B4">
        <v>483</v>
      </c>
      <c r="C4" t="s">
        <v>364</v>
      </c>
      <c r="G4" t="s">
        <v>365</v>
      </c>
      <c r="H4" t="s">
        <v>136</v>
      </c>
      <c r="I4" s="1">
        <v>41509</v>
      </c>
      <c r="J4" t="s">
        <v>136</v>
      </c>
      <c r="L4" t="s">
        <v>97</v>
      </c>
      <c r="P4" t="s">
        <v>20</v>
      </c>
    </row>
    <row r="5" spans="1:16">
      <c r="A5">
        <v>4</v>
      </c>
      <c r="B5">
        <v>370</v>
      </c>
      <c r="C5" t="s">
        <v>316</v>
      </c>
      <c r="G5" t="s">
        <v>85</v>
      </c>
      <c r="H5" t="s">
        <v>317</v>
      </c>
      <c r="I5" s="1">
        <v>41996</v>
      </c>
      <c r="J5" t="s">
        <v>151</v>
      </c>
      <c r="K5" t="s">
        <v>318</v>
      </c>
      <c r="L5" t="s">
        <v>64</v>
      </c>
      <c r="P5" t="s">
        <v>20</v>
      </c>
    </row>
    <row r="6" spans="1:16">
      <c r="A6">
        <v>5</v>
      </c>
      <c r="B6">
        <v>182</v>
      </c>
      <c r="C6" t="s">
        <v>204</v>
      </c>
      <c r="G6" t="s">
        <v>85</v>
      </c>
      <c r="H6" t="s">
        <v>42</v>
      </c>
      <c r="I6" s="1">
        <v>42162</v>
      </c>
      <c r="J6" t="s">
        <v>205</v>
      </c>
      <c r="K6" t="s">
        <v>206</v>
      </c>
      <c r="L6" t="s">
        <v>124</v>
      </c>
      <c r="P6" t="s">
        <v>20</v>
      </c>
    </row>
    <row r="7" spans="1:16">
      <c r="A7">
        <v>6</v>
      </c>
      <c r="B7">
        <v>384</v>
      </c>
      <c r="C7" t="s">
        <v>320</v>
      </c>
      <c r="G7" t="s">
        <v>85</v>
      </c>
      <c r="H7" t="s">
        <v>136</v>
      </c>
      <c r="I7" s="1">
        <v>42237</v>
      </c>
      <c r="J7" t="s">
        <v>136</v>
      </c>
      <c r="K7" t="s">
        <v>321</v>
      </c>
      <c r="L7" t="s">
        <v>94</v>
      </c>
      <c r="P7" t="s">
        <v>20</v>
      </c>
    </row>
    <row r="8" spans="1:16">
      <c r="A8">
        <v>7</v>
      </c>
      <c r="B8">
        <v>355</v>
      </c>
      <c r="C8" t="s">
        <v>304</v>
      </c>
      <c r="G8" t="s">
        <v>85</v>
      </c>
      <c r="H8" t="s">
        <v>305</v>
      </c>
      <c r="I8" s="1">
        <v>42239</v>
      </c>
      <c r="J8" t="s">
        <v>43</v>
      </c>
      <c r="K8" t="s">
        <v>306</v>
      </c>
      <c r="L8" t="s">
        <v>158</v>
      </c>
      <c r="P8" t="s">
        <v>20</v>
      </c>
    </row>
    <row r="9" spans="1:16">
      <c r="A9">
        <v>8</v>
      </c>
      <c r="B9">
        <v>717</v>
      </c>
      <c r="C9" t="s">
        <v>421</v>
      </c>
      <c r="G9" t="s">
        <v>70</v>
      </c>
      <c r="H9" t="s">
        <v>136</v>
      </c>
      <c r="I9" s="1">
        <v>42510</v>
      </c>
      <c r="J9" t="s">
        <v>136</v>
      </c>
      <c r="L9" t="s">
        <v>81</v>
      </c>
      <c r="P9" t="s">
        <v>20</v>
      </c>
    </row>
    <row r="10" spans="1:16">
      <c r="A10">
        <v>9</v>
      </c>
      <c r="B10">
        <v>130</v>
      </c>
      <c r="C10" t="s">
        <v>161</v>
      </c>
      <c r="G10" t="s">
        <v>162</v>
      </c>
      <c r="H10" t="s">
        <v>163</v>
      </c>
      <c r="I10" s="1">
        <v>42569</v>
      </c>
      <c r="J10" t="s">
        <v>43</v>
      </c>
      <c r="K10" t="s">
        <v>164</v>
      </c>
      <c r="L10" t="s">
        <v>105</v>
      </c>
      <c r="N10">
        <v>1</v>
      </c>
      <c r="P10" t="s">
        <v>20</v>
      </c>
    </row>
    <row r="11" spans="1:16">
      <c r="A11">
        <v>10</v>
      </c>
      <c r="B11">
        <v>387</v>
      </c>
      <c r="C11" t="s">
        <v>322</v>
      </c>
      <c r="G11" t="s">
        <v>16</v>
      </c>
      <c r="H11" t="s">
        <v>42</v>
      </c>
      <c r="I11" s="1">
        <v>43723</v>
      </c>
      <c r="J11" t="s">
        <v>43</v>
      </c>
      <c r="L11" t="s">
        <v>47</v>
      </c>
      <c r="P11" t="s">
        <v>20</v>
      </c>
    </row>
    <row r="12" spans="1:16">
      <c r="A12">
        <v>11</v>
      </c>
      <c r="B12">
        <v>390</v>
      </c>
      <c r="C12" t="s">
        <v>323</v>
      </c>
      <c r="G12" t="s">
        <v>16</v>
      </c>
      <c r="H12" t="s">
        <v>42</v>
      </c>
      <c r="I12" s="1">
        <v>43785</v>
      </c>
      <c r="J12" t="s">
        <v>43</v>
      </c>
      <c r="L12" t="s">
        <v>258</v>
      </c>
      <c r="P12" t="s">
        <v>20</v>
      </c>
    </row>
    <row r="13" spans="1:16">
      <c r="A13">
        <v>12</v>
      </c>
      <c r="B13">
        <v>251</v>
      </c>
      <c r="C13" t="s">
        <v>259</v>
      </c>
      <c r="G13" t="s">
        <v>16</v>
      </c>
      <c r="H13" t="s">
        <v>99</v>
      </c>
      <c r="I13" s="1">
        <v>43909</v>
      </c>
      <c r="J13" t="s">
        <v>43</v>
      </c>
      <c r="K13" t="s">
        <v>260</v>
      </c>
      <c r="L13" t="s">
        <v>64</v>
      </c>
      <c r="O13" t="s">
        <v>261</v>
      </c>
      <c r="P13" t="s">
        <v>20</v>
      </c>
    </row>
    <row r="14" spans="1:16">
      <c r="A14">
        <v>13</v>
      </c>
      <c r="B14">
        <v>69</v>
      </c>
      <c r="C14" t="s">
        <v>107</v>
      </c>
      <c r="G14" t="s">
        <v>16</v>
      </c>
      <c r="H14" t="s">
        <v>108</v>
      </c>
      <c r="I14" s="1">
        <v>43945</v>
      </c>
      <c r="J14" t="s">
        <v>43</v>
      </c>
      <c r="P14" t="s">
        <v>20</v>
      </c>
    </row>
    <row r="15" spans="1:16">
      <c r="A15">
        <v>14</v>
      </c>
      <c r="B15">
        <v>71</v>
      </c>
      <c r="C15" t="s">
        <v>109</v>
      </c>
      <c r="G15" t="s">
        <v>77</v>
      </c>
      <c r="H15" t="s">
        <v>110</v>
      </c>
      <c r="I15" s="1">
        <v>43951</v>
      </c>
      <c r="J15" t="s">
        <v>79</v>
      </c>
      <c r="K15" t="s">
        <v>111</v>
      </c>
      <c r="L15" t="s">
        <v>40</v>
      </c>
      <c r="N15">
        <v>3</v>
      </c>
      <c r="P15" t="s">
        <v>20</v>
      </c>
    </row>
    <row r="16" spans="1:16">
      <c r="A16">
        <v>15</v>
      </c>
      <c r="B16">
        <v>192</v>
      </c>
      <c r="C16" t="s">
        <v>211</v>
      </c>
      <c r="G16" t="s">
        <v>16</v>
      </c>
      <c r="H16" t="s">
        <v>212</v>
      </c>
      <c r="I16" s="1">
        <v>43963</v>
      </c>
      <c r="J16" t="s">
        <v>28</v>
      </c>
      <c r="K16" t="s">
        <v>213</v>
      </c>
      <c r="P16" t="s">
        <v>20</v>
      </c>
    </row>
    <row r="17" spans="1:16">
      <c r="A17">
        <v>16</v>
      </c>
      <c r="B17">
        <v>207</v>
      </c>
      <c r="C17" t="s">
        <v>223</v>
      </c>
      <c r="G17" t="s">
        <v>16</v>
      </c>
      <c r="H17" t="s">
        <v>224</v>
      </c>
      <c r="I17" s="1">
        <v>43965</v>
      </c>
      <c r="J17" t="s">
        <v>43</v>
      </c>
      <c r="P17" t="s">
        <v>20</v>
      </c>
    </row>
    <row r="18" spans="1:16">
      <c r="A18">
        <v>17</v>
      </c>
      <c r="B18">
        <v>250</v>
      </c>
      <c r="C18" t="s">
        <v>255</v>
      </c>
      <c r="G18" t="s">
        <v>16</v>
      </c>
      <c r="H18" t="s">
        <v>256</v>
      </c>
      <c r="I18" s="1">
        <v>43965</v>
      </c>
      <c r="J18" t="s">
        <v>43</v>
      </c>
      <c r="K18" t="s">
        <v>257</v>
      </c>
      <c r="L18" t="s">
        <v>258</v>
      </c>
      <c r="P18" t="s">
        <v>20</v>
      </c>
    </row>
    <row r="19" spans="1:16">
      <c r="A19">
        <v>18</v>
      </c>
      <c r="B19">
        <v>102</v>
      </c>
      <c r="C19" t="s">
        <v>142</v>
      </c>
      <c r="G19" t="s">
        <v>16</v>
      </c>
      <c r="H19" t="s">
        <v>45</v>
      </c>
      <c r="I19" s="1">
        <v>43998</v>
      </c>
      <c r="J19" t="s">
        <v>43</v>
      </c>
      <c r="K19" t="s">
        <v>143</v>
      </c>
      <c r="L19" t="s">
        <v>19</v>
      </c>
      <c r="P19" t="s">
        <v>20</v>
      </c>
    </row>
    <row r="20" spans="1:16">
      <c r="A20">
        <v>19</v>
      </c>
      <c r="B20">
        <v>109</v>
      </c>
      <c r="C20" t="s">
        <v>146</v>
      </c>
      <c r="G20" t="s">
        <v>16</v>
      </c>
      <c r="H20" t="s">
        <v>45</v>
      </c>
      <c r="I20" s="1">
        <v>43999</v>
      </c>
      <c r="J20" t="s">
        <v>43</v>
      </c>
      <c r="K20" t="s">
        <v>147</v>
      </c>
      <c r="L20" t="s">
        <v>73</v>
      </c>
      <c r="P20" t="s">
        <v>20</v>
      </c>
    </row>
    <row r="21" spans="1:16">
      <c r="A21">
        <v>20</v>
      </c>
      <c r="B21">
        <v>13</v>
      </c>
      <c r="C21" t="s">
        <v>31</v>
      </c>
      <c r="G21" t="s">
        <v>16</v>
      </c>
      <c r="H21" t="s">
        <v>32</v>
      </c>
      <c r="I21" s="1">
        <v>44002</v>
      </c>
      <c r="J21" t="s">
        <v>18</v>
      </c>
      <c r="K21" t="s">
        <v>33</v>
      </c>
      <c r="L21" t="s">
        <v>34</v>
      </c>
      <c r="P21" t="s">
        <v>20</v>
      </c>
    </row>
    <row r="22" spans="1:16">
      <c r="A22">
        <v>21</v>
      </c>
      <c r="B22">
        <v>14</v>
      </c>
      <c r="C22" t="s">
        <v>35</v>
      </c>
      <c r="G22" t="s">
        <v>16</v>
      </c>
      <c r="H22" t="s">
        <v>32</v>
      </c>
      <c r="I22" s="1">
        <v>44002</v>
      </c>
      <c r="J22" t="s">
        <v>18</v>
      </c>
      <c r="K22" t="s">
        <v>36</v>
      </c>
      <c r="L22" t="s">
        <v>37</v>
      </c>
      <c r="P22" t="s">
        <v>20</v>
      </c>
    </row>
    <row r="23" spans="1:16">
      <c r="A23">
        <v>22</v>
      </c>
      <c r="B23">
        <v>15</v>
      </c>
      <c r="C23" t="s">
        <v>38</v>
      </c>
      <c r="G23" t="s">
        <v>16</v>
      </c>
      <c r="H23" t="s">
        <v>32</v>
      </c>
      <c r="I23" s="1">
        <v>44002</v>
      </c>
      <c r="J23" t="s">
        <v>18</v>
      </c>
      <c r="K23" t="s">
        <v>39</v>
      </c>
      <c r="L23" t="s">
        <v>40</v>
      </c>
      <c r="P23" t="s">
        <v>20</v>
      </c>
    </row>
    <row r="24" spans="1:16">
      <c r="A24">
        <v>23</v>
      </c>
      <c r="B24">
        <v>38</v>
      </c>
      <c r="C24" t="s">
        <v>76</v>
      </c>
      <c r="G24" t="s">
        <v>77</v>
      </c>
      <c r="H24" t="s">
        <v>78</v>
      </c>
      <c r="I24" s="1">
        <v>44003</v>
      </c>
      <c r="J24" t="s">
        <v>79</v>
      </c>
      <c r="K24" t="s">
        <v>80</v>
      </c>
      <c r="L24" t="s">
        <v>81</v>
      </c>
      <c r="P24" t="s">
        <v>20</v>
      </c>
    </row>
    <row r="25" spans="1:16">
      <c r="A25">
        <v>24</v>
      </c>
      <c r="B25">
        <v>227</v>
      </c>
      <c r="C25" t="s">
        <v>237</v>
      </c>
      <c r="G25" t="s">
        <v>16</v>
      </c>
      <c r="H25" t="s">
        <v>42</v>
      </c>
      <c r="I25" s="1">
        <v>44009</v>
      </c>
      <c r="J25" t="s">
        <v>43</v>
      </c>
      <c r="K25" t="s">
        <v>238</v>
      </c>
      <c r="P25" t="s">
        <v>20</v>
      </c>
    </row>
    <row r="26" spans="1:16">
      <c r="A26">
        <v>25</v>
      </c>
      <c r="B26">
        <v>807</v>
      </c>
      <c r="C26" t="s">
        <v>425</v>
      </c>
      <c r="G26" t="s">
        <v>49</v>
      </c>
      <c r="H26" t="s">
        <v>136</v>
      </c>
      <c r="I26" s="1">
        <v>44012</v>
      </c>
      <c r="J26" t="s">
        <v>136</v>
      </c>
      <c r="L26" t="s">
        <v>267</v>
      </c>
      <c r="P26" t="s">
        <v>20</v>
      </c>
    </row>
    <row r="27" spans="1:16">
      <c r="A27">
        <v>26</v>
      </c>
      <c r="B27">
        <v>18</v>
      </c>
      <c r="C27" t="s">
        <v>44</v>
      </c>
      <c r="G27" t="s">
        <v>16</v>
      </c>
      <c r="H27" t="s">
        <v>45</v>
      </c>
      <c r="I27" s="1">
        <v>44017</v>
      </c>
      <c r="J27" t="s">
        <v>43</v>
      </c>
      <c r="K27" t="s">
        <v>46</v>
      </c>
      <c r="L27" t="s">
        <v>47</v>
      </c>
      <c r="P27" t="s">
        <v>20</v>
      </c>
    </row>
    <row r="28" spans="1:16">
      <c r="A28">
        <v>27</v>
      </c>
      <c r="B28">
        <v>161</v>
      </c>
      <c r="C28" t="s">
        <v>191</v>
      </c>
      <c r="G28" t="s">
        <v>16</v>
      </c>
      <c r="H28" t="s">
        <v>45</v>
      </c>
      <c r="I28" s="1">
        <v>44019</v>
      </c>
      <c r="J28" t="s">
        <v>43</v>
      </c>
      <c r="P28" t="s">
        <v>20</v>
      </c>
    </row>
    <row r="29" spans="1:16">
      <c r="A29">
        <v>28</v>
      </c>
      <c r="B29">
        <v>530</v>
      </c>
      <c r="C29" t="s">
        <v>375</v>
      </c>
      <c r="G29" t="s">
        <v>49</v>
      </c>
      <c r="H29" t="s">
        <v>376</v>
      </c>
      <c r="I29" s="1">
        <v>44019</v>
      </c>
      <c r="J29" t="s">
        <v>130</v>
      </c>
      <c r="K29" t="s">
        <v>377</v>
      </c>
      <c r="L29" t="s">
        <v>137</v>
      </c>
      <c r="N29">
        <v>1516</v>
      </c>
      <c r="P29" t="s">
        <v>20</v>
      </c>
    </row>
    <row r="30" spans="1:16">
      <c r="A30">
        <v>29</v>
      </c>
      <c r="B30">
        <v>193</v>
      </c>
      <c r="C30" t="s">
        <v>214</v>
      </c>
      <c r="G30" t="s">
        <v>16</v>
      </c>
      <c r="H30" t="s">
        <v>27</v>
      </c>
      <c r="I30" s="1">
        <v>44021</v>
      </c>
      <c r="J30" t="s">
        <v>43</v>
      </c>
      <c r="K30" t="s">
        <v>215</v>
      </c>
      <c r="P30" t="s">
        <v>20</v>
      </c>
    </row>
    <row r="31" spans="1:16">
      <c r="A31">
        <v>30</v>
      </c>
      <c r="B31">
        <v>52</v>
      </c>
      <c r="C31" t="s">
        <v>88</v>
      </c>
      <c r="G31" t="s">
        <v>16</v>
      </c>
      <c r="H31" t="s">
        <v>89</v>
      </c>
      <c r="I31" s="1">
        <v>44022</v>
      </c>
      <c r="J31" t="s">
        <v>43</v>
      </c>
      <c r="K31" t="s">
        <v>90</v>
      </c>
      <c r="L31" t="s">
        <v>91</v>
      </c>
      <c r="P31" t="s">
        <v>20</v>
      </c>
    </row>
    <row r="32" spans="1:16">
      <c r="A32">
        <v>31</v>
      </c>
      <c r="B32">
        <v>80</v>
      </c>
      <c r="C32" t="s">
        <v>127</v>
      </c>
      <c r="D32" t="s">
        <v>128</v>
      </c>
      <c r="G32" t="s">
        <v>49</v>
      </c>
      <c r="H32" t="s">
        <v>129</v>
      </c>
      <c r="I32" s="1">
        <v>44022</v>
      </c>
      <c r="J32" t="s">
        <v>130</v>
      </c>
      <c r="K32" t="s">
        <v>131</v>
      </c>
      <c r="L32" t="s">
        <v>132</v>
      </c>
      <c r="N32">
        <v>13</v>
      </c>
      <c r="P32" t="s">
        <v>20</v>
      </c>
    </row>
    <row r="33" spans="1:16">
      <c r="A33">
        <v>32</v>
      </c>
      <c r="B33">
        <v>133</v>
      </c>
      <c r="C33" t="s">
        <v>165</v>
      </c>
      <c r="G33" t="s">
        <v>16</v>
      </c>
      <c r="H33" t="s">
        <v>166</v>
      </c>
      <c r="I33" s="1">
        <v>44023</v>
      </c>
      <c r="J33" t="s">
        <v>43</v>
      </c>
      <c r="L33" t="s">
        <v>101</v>
      </c>
      <c r="P33" t="s">
        <v>20</v>
      </c>
    </row>
    <row r="34" spans="1:16">
      <c r="A34">
        <v>33</v>
      </c>
      <c r="B34">
        <v>56</v>
      </c>
      <c r="C34" t="s">
        <v>95</v>
      </c>
      <c r="G34" t="s">
        <v>16</v>
      </c>
      <c r="H34" t="s">
        <v>45</v>
      </c>
      <c r="I34" s="1">
        <v>44025</v>
      </c>
      <c r="J34" t="s">
        <v>43</v>
      </c>
      <c r="K34" t="s">
        <v>96</v>
      </c>
      <c r="L34" t="s">
        <v>97</v>
      </c>
      <c r="P34" t="s">
        <v>20</v>
      </c>
    </row>
    <row r="35" spans="1:16">
      <c r="A35">
        <v>34</v>
      </c>
      <c r="B35">
        <v>95</v>
      </c>
      <c r="C35" t="s">
        <v>138</v>
      </c>
      <c r="G35" t="s">
        <v>16</v>
      </c>
      <c r="H35" t="s">
        <v>42</v>
      </c>
      <c r="I35" s="1">
        <v>44027</v>
      </c>
      <c r="J35" t="s">
        <v>43</v>
      </c>
      <c r="K35" t="s">
        <v>139</v>
      </c>
      <c r="L35" t="s">
        <v>64</v>
      </c>
      <c r="P35" t="s">
        <v>20</v>
      </c>
    </row>
    <row r="36" spans="1:16">
      <c r="A36">
        <v>35</v>
      </c>
      <c r="B36">
        <v>42</v>
      </c>
      <c r="C36" t="s">
        <v>82</v>
      </c>
      <c r="G36" t="s">
        <v>16</v>
      </c>
      <c r="H36" t="s">
        <v>45</v>
      </c>
      <c r="I36" s="1">
        <v>44028</v>
      </c>
      <c r="J36" t="s">
        <v>43</v>
      </c>
      <c r="K36" t="s">
        <v>83</v>
      </c>
      <c r="L36" t="s">
        <v>69</v>
      </c>
      <c r="P36" t="s">
        <v>20</v>
      </c>
    </row>
    <row r="37" spans="1:16">
      <c r="A37">
        <v>36</v>
      </c>
      <c r="B37">
        <v>92</v>
      </c>
      <c r="C37" t="s">
        <v>133</v>
      </c>
      <c r="G37" t="s">
        <v>16</v>
      </c>
      <c r="H37" t="s">
        <v>42</v>
      </c>
      <c r="I37" s="1">
        <v>44031</v>
      </c>
      <c r="J37" t="s">
        <v>18</v>
      </c>
      <c r="L37" t="s">
        <v>132</v>
      </c>
      <c r="P37" t="s">
        <v>20</v>
      </c>
    </row>
    <row r="38" spans="1:16">
      <c r="A38">
        <v>37</v>
      </c>
      <c r="B38">
        <v>93</v>
      </c>
      <c r="C38" t="s">
        <v>134</v>
      </c>
      <c r="G38" t="s">
        <v>16</v>
      </c>
      <c r="H38" t="s">
        <v>42</v>
      </c>
      <c r="I38" s="1">
        <v>44031</v>
      </c>
      <c r="J38" t="s">
        <v>18</v>
      </c>
      <c r="L38" t="s">
        <v>101</v>
      </c>
      <c r="P38" t="s">
        <v>20</v>
      </c>
    </row>
    <row r="39" spans="1:16">
      <c r="A39">
        <v>38</v>
      </c>
      <c r="B39">
        <v>35</v>
      </c>
      <c r="C39" t="s">
        <v>74</v>
      </c>
      <c r="G39" t="s">
        <v>16</v>
      </c>
      <c r="H39" t="s">
        <v>32</v>
      </c>
      <c r="I39" s="1">
        <v>44037</v>
      </c>
      <c r="J39" t="s">
        <v>43</v>
      </c>
      <c r="K39" t="s">
        <v>75</v>
      </c>
      <c r="L39" t="s">
        <v>40</v>
      </c>
      <c r="P39" t="s">
        <v>20</v>
      </c>
    </row>
    <row r="40" spans="1:16">
      <c r="A40">
        <v>39</v>
      </c>
      <c r="B40">
        <v>105</v>
      </c>
      <c r="C40" t="s">
        <v>144</v>
      </c>
      <c r="D40" t="s">
        <v>59</v>
      </c>
      <c r="G40" t="s">
        <v>16</v>
      </c>
      <c r="H40" t="s">
        <v>42</v>
      </c>
      <c r="I40" s="1">
        <v>44037</v>
      </c>
      <c r="J40" t="s">
        <v>43</v>
      </c>
      <c r="K40" t="s">
        <v>145</v>
      </c>
      <c r="L40" t="s">
        <v>69</v>
      </c>
      <c r="P40" t="s">
        <v>20</v>
      </c>
    </row>
    <row r="41" spans="1:16">
      <c r="A41">
        <v>40</v>
      </c>
      <c r="B41">
        <v>114</v>
      </c>
      <c r="C41" t="s">
        <v>148</v>
      </c>
      <c r="G41" t="s">
        <v>16</v>
      </c>
      <c r="H41" t="s">
        <v>149</v>
      </c>
      <c r="I41" s="1">
        <v>44037</v>
      </c>
      <c r="J41" t="s">
        <v>43</v>
      </c>
      <c r="K41" t="s">
        <v>20</v>
      </c>
      <c r="L41" t="s">
        <v>57</v>
      </c>
      <c r="P41" t="s">
        <v>20</v>
      </c>
    </row>
    <row r="42" spans="1:16">
      <c r="A42">
        <v>41</v>
      </c>
      <c r="B42">
        <v>201</v>
      </c>
      <c r="C42" t="s">
        <v>218</v>
      </c>
      <c r="G42" t="s">
        <v>16</v>
      </c>
      <c r="H42" t="s">
        <v>149</v>
      </c>
      <c r="I42" s="1">
        <v>44037</v>
      </c>
      <c r="J42" t="s">
        <v>43</v>
      </c>
      <c r="K42" t="s">
        <v>219</v>
      </c>
      <c r="P42" t="s">
        <v>20</v>
      </c>
    </row>
    <row r="43" spans="1:16">
      <c r="A43">
        <v>42</v>
      </c>
      <c r="B43">
        <v>443</v>
      </c>
      <c r="C43" t="s">
        <v>343</v>
      </c>
      <c r="G43" t="s">
        <v>16</v>
      </c>
      <c r="H43" t="s">
        <v>149</v>
      </c>
      <c r="I43" s="1">
        <v>44037</v>
      </c>
      <c r="J43" t="s">
        <v>43</v>
      </c>
      <c r="K43" t="s">
        <v>344</v>
      </c>
      <c r="L43" t="s">
        <v>94</v>
      </c>
      <c r="P43" t="s">
        <v>20</v>
      </c>
    </row>
    <row r="44" spans="1:16">
      <c r="A44">
        <v>43</v>
      </c>
      <c r="B44">
        <v>211</v>
      </c>
      <c r="C44" t="s">
        <v>225</v>
      </c>
      <c r="G44" t="s">
        <v>16</v>
      </c>
      <c r="H44" t="s">
        <v>32</v>
      </c>
      <c r="I44" s="1">
        <v>44038</v>
      </c>
      <c r="J44" t="s">
        <v>43</v>
      </c>
      <c r="K44" t="s">
        <v>226</v>
      </c>
      <c r="P44" t="s">
        <v>20</v>
      </c>
    </row>
    <row r="45" spans="1:16">
      <c r="A45">
        <v>44</v>
      </c>
      <c r="B45">
        <v>26</v>
      </c>
      <c r="C45" t="s">
        <v>55</v>
      </c>
      <c r="G45" t="s">
        <v>49</v>
      </c>
      <c r="H45" t="s">
        <v>50</v>
      </c>
      <c r="I45" s="1">
        <v>44049</v>
      </c>
      <c r="J45" t="s">
        <v>51</v>
      </c>
      <c r="K45" t="s">
        <v>56</v>
      </c>
      <c r="L45" t="s">
        <v>57</v>
      </c>
      <c r="O45" t="s">
        <v>58</v>
      </c>
      <c r="P45" t="s">
        <v>20</v>
      </c>
    </row>
    <row r="46" spans="1:16">
      <c r="A46">
        <v>45</v>
      </c>
      <c r="B46">
        <v>129</v>
      </c>
      <c r="C46" t="s">
        <v>159</v>
      </c>
      <c r="G46" t="s">
        <v>16</v>
      </c>
      <c r="H46" t="s">
        <v>42</v>
      </c>
      <c r="I46" s="1">
        <v>44051</v>
      </c>
      <c r="J46" t="s">
        <v>18</v>
      </c>
      <c r="K46" t="s">
        <v>160</v>
      </c>
      <c r="L46" t="s">
        <v>69</v>
      </c>
      <c r="P46" t="s">
        <v>20</v>
      </c>
    </row>
    <row r="47" spans="1:16">
      <c r="A47">
        <v>46</v>
      </c>
      <c r="B47">
        <v>591</v>
      </c>
      <c r="C47" t="s">
        <v>390</v>
      </c>
      <c r="G47" t="s">
        <v>49</v>
      </c>
      <c r="H47" t="s">
        <v>136</v>
      </c>
      <c r="I47" s="1">
        <v>44052</v>
      </c>
      <c r="J47" t="s">
        <v>136</v>
      </c>
      <c r="L47" t="s">
        <v>37</v>
      </c>
      <c r="P47" t="s">
        <v>20</v>
      </c>
    </row>
    <row r="48" spans="1:16">
      <c r="A48">
        <v>47</v>
      </c>
      <c r="B48">
        <v>253</v>
      </c>
      <c r="C48" t="s">
        <v>262</v>
      </c>
      <c r="G48" t="s">
        <v>85</v>
      </c>
      <c r="H48" t="s">
        <v>263</v>
      </c>
      <c r="I48" s="1">
        <v>44054</v>
      </c>
      <c r="J48" t="s">
        <v>175</v>
      </c>
      <c r="K48" t="s">
        <v>264</v>
      </c>
      <c r="L48" t="s">
        <v>73</v>
      </c>
      <c r="P48" t="s">
        <v>20</v>
      </c>
    </row>
    <row r="49" spans="1:16">
      <c r="A49">
        <v>48</v>
      </c>
      <c r="B49">
        <v>257</v>
      </c>
      <c r="C49" t="s">
        <v>265</v>
      </c>
      <c r="G49" t="s">
        <v>85</v>
      </c>
      <c r="H49" t="s">
        <v>263</v>
      </c>
      <c r="I49" s="1">
        <v>44083</v>
      </c>
      <c r="J49" t="s">
        <v>175</v>
      </c>
      <c r="K49" t="s">
        <v>266</v>
      </c>
      <c r="L49" t="s">
        <v>267</v>
      </c>
      <c r="P49" t="s">
        <v>20</v>
      </c>
    </row>
    <row r="50" spans="1:16">
      <c r="A50">
        <v>49</v>
      </c>
      <c r="B50">
        <v>137</v>
      </c>
      <c r="C50" t="s">
        <v>167</v>
      </c>
      <c r="G50" t="s">
        <v>16</v>
      </c>
      <c r="H50" t="s">
        <v>99</v>
      </c>
      <c r="I50" s="1">
        <v>44094</v>
      </c>
      <c r="J50" t="s">
        <v>18</v>
      </c>
      <c r="K50" t="s">
        <v>168</v>
      </c>
      <c r="L50" t="s">
        <v>117</v>
      </c>
      <c r="P50" t="s">
        <v>20</v>
      </c>
    </row>
    <row r="51" spans="1:16">
      <c r="A51">
        <v>50</v>
      </c>
      <c r="B51">
        <v>144</v>
      </c>
      <c r="C51" t="s">
        <v>169</v>
      </c>
      <c r="G51" t="s">
        <v>16</v>
      </c>
      <c r="H51" t="s">
        <v>99</v>
      </c>
      <c r="I51" s="1">
        <v>44094</v>
      </c>
      <c r="J51" t="s">
        <v>170</v>
      </c>
      <c r="K51" t="s">
        <v>171</v>
      </c>
      <c r="L51" t="s">
        <v>81</v>
      </c>
      <c r="N51">
        <v>5</v>
      </c>
      <c r="P51" t="s">
        <v>20</v>
      </c>
    </row>
    <row r="52" spans="1:16">
      <c r="A52">
        <v>51</v>
      </c>
      <c r="B52">
        <v>233</v>
      </c>
      <c r="C52" t="s">
        <v>240</v>
      </c>
      <c r="G52" t="s">
        <v>16</v>
      </c>
      <c r="H52" t="s">
        <v>99</v>
      </c>
      <c r="I52" s="1">
        <v>44094</v>
      </c>
      <c r="J52" t="s">
        <v>18</v>
      </c>
      <c r="K52" t="s">
        <v>241</v>
      </c>
      <c r="L52" t="s">
        <v>37</v>
      </c>
      <c r="P52" t="s">
        <v>20</v>
      </c>
    </row>
    <row r="53" spans="1:16">
      <c r="A53">
        <v>52</v>
      </c>
      <c r="B53">
        <v>474</v>
      </c>
      <c r="C53" t="s">
        <v>361</v>
      </c>
      <c r="G53" t="s">
        <v>16</v>
      </c>
      <c r="H53" t="s">
        <v>99</v>
      </c>
      <c r="I53" s="1">
        <v>44094</v>
      </c>
      <c r="J53" t="s">
        <v>18</v>
      </c>
      <c r="K53" t="s">
        <v>362</v>
      </c>
      <c r="L53" t="s">
        <v>105</v>
      </c>
      <c r="P53" t="s">
        <v>20</v>
      </c>
    </row>
    <row r="54" spans="1:16">
      <c r="A54">
        <v>53</v>
      </c>
      <c r="B54">
        <v>52</v>
      </c>
      <c r="C54" t="s">
        <v>92</v>
      </c>
      <c r="D54" t="s">
        <v>59</v>
      </c>
      <c r="G54" t="s">
        <v>16</v>
      </c>
      <c r="H54" t="s">
        <v>42</v>
      </c>
      <c r="I54" s="1">
        <v>44114</v>
      </c>
      <c r="J54" t="s">
        <v>43</v>
      </c>
      <c r="K54" t="s">
        <v>93</v>
      </c>
      <c r="L54" t="s">
        <v>94</v>
      </c>
      <c r="P54" t="s">
        <v>20</v>
      </c>
    </row>
    <row r="55" spans="1:16">
      <c r="A55">
        <v>54</v>
      </c>
      <c r="B55">
        <v>68</v>
      </c>
      <c r="C55" t="s">
        <v>102</v>
      </c>
      <c r="G55" t="s">
        <v>49</v>
      </c>
      <c r="H55" t="s">
        <v>103</v>
      </c>
      <c r="I55" s="1">
        <v>44120</v>
      </c>
      <c r="J55" t="s">
        <v>43</v>
      </c>
      <c r="K55" t="s">
        <v>104</v>
      </c>
      <c r="L55" t="s">
        <v>105</v>
      </c>
      <c r="O55" t="s">
        <v>106</v>
      </c>
      <c r="P55" t="s">
        <v>20</v>
      </c>
    </row>
    <row r="56" spans="1:16">
      <c r="A56">
        <v>55</v>
      </c>
      <c r="B56">
        <v>4</v>
      </c>
      <c r="C56" t="s">
        <v>15</v>
      </c>
      <c r="G56" t="s">
        <v>16</v>
      </c>
      <c r="H56" t="s">
        <v>17</v>
      </c>
      <c r="I56" s="1">
        <v>44121</v>
      </c>
      <c r="J56" t="s">
        <v>18</v>
      </c>
      <c r="L56" t="s">
        <v>19</v>
      </c>
      <c r="P56" t="s">
        <v>20</v>
      </c>
    </row>
    <row r="57" spans="1:16">
      <c r="A57">
        <v>56</v>
      </c>
      <c r="B57">
        <v>5</v>
      </c>
      <c r="C57" t="s">
        <v>21</v>
      </c>
      <c r="G57" t="s">
        <v>16</v>
      </c>
      <c r="H57" t="s">
        <v>17</v>
      </c>
      <c r="I57" s="1">
        <v>44121</v>
      </c>
      <c r="J57" t="s">
        <v>18</v>
      </c>
      <c r="L57" t="s">
        <v>22</v>
      </c>
      <c r="P57" t="s">
        <v>20</v>
      </c>
    </row>
    <row r="58" spans="1:16">
      <c r="A58">
        <v>57</v>
      </c>
      <c r="B58">
        <v>6</v>
      </c>
      <c r="C58" t="s">
        <v>23</v>
      </c>
      <c r="G58" t="s">
        <v>16</v>
      </c>
      <c r="H58" t="s">
        <v>17</v>
      </c>
      <c r="I58" s="1">
        <v>44121</v>
      </c>
      <c r="J58" t="s">
        <v>18</v>
      </c>
      <c r="K58" t="s">
        <v>24</v>
      </c>
      <c r="L58" t="s">
        <v>25</v>
      </c>
      <c r="P58" t="s">
        <v>20</v>
      </c>
    </row>
    <row r="59" spans="1:16">
      <c r="A59">
        <v>58</v>
      </c>
      <c r="B59">
        <v>228</v>
      </c>
      <c r="C59" t="s">
        <v>239</v>
      </c>
      <c r="G59" t="s">
        <v>16</v>
      </c>
      <c r="H59" t="s">
        <v>42</v>
      </c>
      <c r="I59" s="1">
        <v>44121</v>
      </c>
      <c r="J59" t="s">
        <v>43</v>
      </c>
      <c r="P59" t="s">
        <v>20</v>
      </c>
    </row>
    <row r="60" spans="1:16">
      <c r="A60">
        <v>59</v>
      </c>
      <c r="B60">
        <v>701</v>
      </c>
      <c r="C60" t="s">
        <v>410</v>
      </c>
      <c r="G60" t="s">
        <v>49</v>
      </c>
      <c r="H60" t="s">
        <v>286</v>
      </c>
      <c r="I60" s="1">
        <v>44145</v>
      </c>
      <c r="J60" t="s">
        <v>411</v>
      </c>
      <c r="K60" t="s">
        <v>412</v>
      </c>
      <c r="L60" t="s">
        <v>94</v>
      </c>
      <c r="P60" t="s">
        <v>20</v>
      </c>
    </row>
    <row r="61" spans="1:16">
      <c r="A61">
        <v>60</v>
      </c>
      <c r="B61">
        <v>545</v>
      </c>
      <c r="C61" t="s">
        <v>381</v>
      </c>
      <c r="G61" t="s">
        <v>49</v>
      </c>
      <c r="H61" t="s">
        <v>252</v>
      </c>
      <c r="I61" s="1">
        <v>44148</v>
      </c>
      <c r="J61" t="s">
        <v>253</v>
      </c>
      <c r="L61" t="s">
        <v>40</v>
      </c>
      <c r="P61" t="s">
        <v>20</v>
      </c>
    </row>
    <row r="62" spans="1:16">
      <c r="A62">
        <v>61</v>
      </c>
      <c r="B62">
        <v>125</v>
      </c>
      <c r="C62" t="s">
        <v>154</v>
      </c>
      <c r="G62" t="s">
        <v>16</v>
      </c>
      <c r="H62" t="s">
        <v>99</v>
      </c>
      <c r="I62" s="1">
        <v>44150</v>
      </c>
      <c r="J62" t="s">
        <v>18</v>
      </c>
      <c r="L62" t="s">
        <v>64</v>
      </c>
      <c r="P62" t="s">
        <v>20</v>
      </c>
    </row>
    <row r="63" spans="1:16">
      <c r="A63">
        <v>62</v>
      </c>
      <c r="B63">
        <v>249</v>
      </c>
      <c r="C63" t="s">
        <v>251</v>
      </c>
      <c r="G63" t="s">
        <v>49</v>
      </c>
      <c r="H63" t="s">
        <v>252</v>
      </c>
      <c r="I63" s="1">
        <v>44151</v>
      </c>
      <c r="J63" t="s">
        <v>253</v>
      </c>
      <c r="K63" t="s">
        <v>254</v>
      </c>
      <c r="L63" t="s">
        <v>25</v>
      </c>
      <c r="N63">
        <v>121</v>
      </c>
      <c r="P63" t="s">
        <v>20</v>
      </c>
    </row>
    <row r="64" spans="1:16">
      <c r="A64">
        <v>63</v>
      </c>
      <c r="B64">
        <v>28</v>
      </c>
      <c r="C64" t="s">
        <v>66</v>
      </c>
      <c r="D64" t="s">
        <v>59</v>
      </c>
      <c r="G64" t="s">
        <v>16</v>
      </c>
      <c r="H64" t="s">
        <v>67</v>
      </c>
      <c r="I64" s="1">
        <v>44155</v>
      </c>
      <c r="J64" t="s">
        <v>43</v>
      </c>
      <c r="K64" t="s">
        <v>68</v>
      </c>
      <c r="L64" t="s">
        <v>69</v>
      </c>
      <c r="P64" t="s">
        <v>20</v>
      </c>
    </row>
    <row r="65" spans="1:16">
      <c r="A65">
        <v>64</v>
      </c>
      <c r="B65">
        <v>808</v>
      </c>
      <c r="C65" t="s">
        <v>426</v>
      </c>
      <c r="G65" t="s">
        <v>16</v>
      </c>
      <c r="H65" t="s">
        <v>67</v>
      </c>
      <c r="I65" s="1">
        <v>44155</v>
      </c>
      <c r="J65" t="s">
        <v>136</v>
      </c>
      <c r="K65" t="s">
        <v>427</v>
      </c>
      <c r="L65" t="s">
        <v>19</v>
      </c>
      <c r="P65" t="s">
        <v>20</v>
      </c>
    </row>
    <row r="66" spans="1:16">
      <c r="A66">
        <v>65</v>
      </c>
      <c r="B66">
        <v>809</v>
      </c>
      <c r="C66" t="s">
        <v>428</v>
      </c>
      <c r="G66" t="s">
        <v>16</v>
      </c>
      <c r="H66" t="s">
        <v>67</v>
      </c>
      <c r="I66" s="1">
        <v>44155</v>
      </c>
      <c r="J66" t="s">
        <v>136</v>
      </c>
      <c r="K66" t="s">
        <v>429</v>
      </c>
      <c r="L66" t="s">
        <v>64</v>
      </c>
      <c r="P66" t="s">
        <v>20</v>
      </c>
    </row>
    <row r="67" spans="1:16">
      <c r="A67">
        <v>66</v>
      </c>
      <c r="B67">
        <v>126</v>
      </c>
      <c r="C67" t="s">
        <v>155</v>
      </c>
      <c r="G67" t="s">
        <v>16</v>
      </c>
      <c r="H67" t="s">
        <v>99</v>
      </c>
      <c r="I67" s="1">
        <v>44156</v>
      </c>
      <c r="J67" t="s">
        <v>18</v>
      </c>
      <c r="K67" t="s">
        <v>156</v>
      </c>
      <c r="L67" t="s">
        <v>73</v>
      </c>
      <c r="P67" t="s">
        <v>20</v>
      </c>
    </row>
    <row r="68" spans="1:16">
      <c r="A68">
        <v>67</v>
      </c>
      <c r="B68">
        <v>467</v>
      </c>
      <c r="C68" t="s">
        <v>359</v>
      </c>
      <c r="G68" t="s">
        <v>16</v>
      </c>
      <c r="H68" t="s">
        <v>99</v>
      </c>
      <c r="I68" s="1">
        <v>44156</v>
      </c>
      <c r="J68" t="s">
        <v>18</v>
      </c>
      <c r="K68" t="s">
        <v>360</v>
      </c>
      <c r="L68" t="s">
        <v>158</v>
      </c>
      <c r="P68" t="s">
        <v>20</v>
      </c>
    </row>
    <row r="69" spans="1:16">
      <c r="A69">
        <v>68</v>
      </c>
      <c r="B69">
        <v>466</v>
      </c>
      <c r="C69" t="s">
        <v>358</v>
      </c>
      <c r="G69" t="s">
        <v>49</v>
      </c>
      <c r="H69" t="s">
        <v>252</v>
      </c>
      <c r="I69" s="1">
        <v>44158</v>
      </c>
      <c r="J69" t="s">
        <v>253</v>
      </c>
      <c r="L69" t="s">
        <v>19</v>
      </c>
      <c r="P69" t="s">
        <v>20</v>
      </c>
    </row>
    <row r="70" spans="1:16">
      <c r="A70">
        <v>69</v>
      </c>
      <c r="B70">
        <v>16</v>
      </c>
      <c r="C70" t="s">
        <v>41</v>
      </c>
      <c r="G70" t="s">
        <v>16</v>
      </c>
      <c r="H70" t="s">
        <v>42</v>
      </c>
      <c r="I70" s="1">
        <v>44166</v>
      </c>
      <c r="J70" t="s">
        <v>43</v>
      </c>
      <c r="L70" t="s">
        <v>37</v>
      </c>
      <c r="P70" t="s">
        <v>20</v>
      </c>
    </row>
    <row r="71" spans="1:16">
      <c r="A71">
        <v>70</v>
      </c>
      <c r="B71">
        <v>526</v>
      </c>
      <c r="C71" t="s">
        <v>372</v>
      </c>
      <c r="G71" t="s">
        <v>70</v>
      </c>
      <c r="H71" t="s">
        <v>373</v>
      </c>
      <c r="I71" s="1">
        <v>44176</v>
      </c>
      <c r="J71" t="s">
        <v>205</v>
      </c>
      <c r="K71" t="s">
        <v>374</v>
      </c>
      <c r="L71" t="s">
        <v>57</v>
      </c>
      <c r="P71" t="s">
        <v>20</v>
      </c>
    </row>
    <row r="72" spans="1:16">
      <c r="A72">
        <v>71</v>
      </c>
      <c r="B72">
        <v>273</v>
      </c>
      <c r="C72" t="s">
        <v>274</v>
      </c>
      <c r="G72" t="s">
        <v>16</v>
      </c>
      <c r="H72" t="s">
        <v>99</v>
      </c>
      <c r="I72" s="1">
        <v>44177</v>
      </c>
      <c r="J72" t="s">
        <v>18</v>
      </c>
      <c r="L72" t="s">
        <v>64</v>
      </c>
      <c r="P72" t="s">
        <v>20</v>
      </c>
    </row>
    <row r="73" spans="1:16">
      <c r="A73">
        <v>72</v>
      </c>
      <c r="B73">
        <v>274</v>
      </c>
      <c r="C73" t="s">
        <v>275</v>
      </c>
      <c r="G73" t="s">
        <v>16</v>
      </c>
      <c r="H73" t="s">
        <v>99</v>
      </c>
      <c r="I73" s="1">
        <v>44177</v>
      </c>
      <c r="J73" t="s">
        <v>18</v>
      </c>
      <c r="L73" t="s">
        <v>53</v>
      </c>
      <c r="P73" t="s">
        <v>20</v>
      </c>
    </row>
    <row r="74" spans="1:16">
      <c r="A74">
        <v>73</v>
      </c>
      <c r="B74">
        <v>275</v>
      </c>
      <c r="C74" t="s">
        <v>276</v>
      </c>
      <c r="G74" t="s">
        <v>16</v>
      </c>
      <c r="H74" t="s">
        <v>99</v>
      </c>
      <c r="I74" s="1">
        <v>44177</v>
      </c>
      <c r="J74" t="s">
        <v>18</v>
      </c>
      <c r="L74" t="s">
        <v>25</v>
      </c>
      <c r="P74" t="s">
        <v>20</v>
      </c>
    </row>
    <row r="75" spans="1:16">
      <c r="A75">
        <v>74</v>
      </c>
      <c r="B75">
        <v>393</v>
      </c>
      <c r="C75" t="s">
        <v>324</v>
      </c>
      <c r="G75" t="s">
        <v>16</v>
      </c>
      <c r="H75" t="s">
        <v>99</v>
      </c>
      <c r="I75" s="1">
        <v>44177</v>
      </c>
      <c r="J75" t="s">
        <v>43</v>
      </c>
      <c r="P75" t="s">
        <v>20</v>
      </c>
    </row>
    <row r="76" spans="1:16">
      <c r="A76">
        <v>75</v>
      </c>
      <c r="B76">
        <v>279</v>
      </c>
      <c r="C76" t="s">
        <v>277</v>
      </c>
      <c r="G76" t="s">
        <v>70</v>
      </c>
      <c r="H76" t="s">
        <v>278</v>
      </c>
      <c r="I76" s="1">
        <v>44195</v>
      </c>
      <c r="J76" t="s">
        <v>205</v>
      </c>
      <c r="K76" t="s">
        <v>279</v>
      </c>
      <c r="L76" t="s">
        <v>158</v>
      </c>
      <c r="O76" t="s">
        <v>280</v>
      </c>
      <c r="P76" t="s">
        <v>20</v>
      </c>
    </row>
    <row r="77" spans="1:16">
      <c r="A77">
        <v>76</v>
      </c>
      <c r="B77">
        <v>202</v>
      </c>
      <c r="C77" t="s">
        <v>220</v>
      </c>
      <c r="G77" t="s">
        <v>200</v>
      </c>
      <c r="H77" t="s">
        <v>221</v>
      </c>
      <c r="I77" s="1">
        <v>44196</v>
      </c>
      <c r="J77" t="s">
        <v>202</v>
      </c>
      <c r="K77" t="s">
        <v>222</v>
      </c>
      <c r="L77" t="s">
        <v>57</v>
      </c>
      <c r="N77">
        <v>11</v>
      </c>
      <c r="P77" t="s">
        <v>20</v>
      </c>
    </row>
    <row r="78" spans="1:16">
      <c r="A78">
        <v>77</v>
      </c>
      <c r="B78">
        <v>708</v>
      </c>
      <c r="C78" t="s">
        <v>415</v>
      </c>
      <c r="G78" t="s">
        <v>70</v>
      </c>
      <c r="H78" t="s">
        <v>193</v>
      </c>
      <c r="I78" s="1">
        <v>44207</v>
      </c>
      <c r="J78" t="s">
        <v>193</v>
      </c>
      <c r="K78" t="s">
        <v>416</v>
      </c>
      <c r="L78" t="s">
        <v>81</v>
      </c>
      <c r="N78">
        <v>620</v>
      </c>
      <c r="P78" t="s">
        <v>20</v>
      </c>
    </row>
    <row r="79" spans="1:16">
      <c r="A79">
        <v>78</v>
      </c>
      <c r="B79">
        <v>609</v>
      </c>
      <c r="C79" t="s">
        <v>391</v>
      </c>
      <c r="G79" t="s">
        <v>70</v>
      </c>
      <c r="H79" t="s">
        <v>193</v>
      </c>
      <c r="I79" s="1">
        <v>44210</v>
      </c>
      <c r="J79" t="s">
        <v>193</v>
      </c>
      <c r="K79" t="s">
        <v>392</v>
      </c>
      <c r="L79" t="s">
        <v>37</v>
      </c>
      <c r="N79">
        <v>902</v>
      </c>
      <c r="P79" t="s">
        <v>20</v>
      </c>
    </row>
    <row r="80" spans="1:16">
      <c r="A80">
        <v>79</v>
      </c>
      <c r="B80">
        <v>702</v>
      </c>
      <c r="C80" t="s">
        <v>413</v>
      </c>
      <c r="G80" t="s">
        <v>70</v>
      </c>
      <c r="H80" t="s">
        <v>193</v>
      </c>
      <c r="I80" s="1">
        <v>44210</v>
      </c>
      <c r="J80" t="s">
        <v>193</v>
      </c>
      <c r="K80" t="s">
        <v>414</v>
      </c>
      <c r="L80" t="s">
        <v>117</v>
      </c>
      <c r="N80">
        <v>7</v>
      </c>
      <c r="P80" t="s">
        <v>20</v>
      </c>
    </row>
    <row r="81" spans="1:16">
      <c r="A81">
        <v>80</v>
      </c>
      <c r="B81">
        <v>66</v>
      </c>
      <c r="C81" t="s">
        <v>98</v>
      </c>
      <c r="G81" t="s">
        <v>16</v>
      </c>
      <c r="H81" t="s">
        <v>99</v>
      </c>
      <c r="I81" s="1">
        <v>44212</v>
      </c>
      <c r="J81" t="s">
        <v>18</v>
      </c>
      <c r="L81" t="s">
        <v>22</v>
      </c>
      <c r="P81" t="s">
        <v>20</v>
      </c>
    </row>
    <row r="82" spans="1:16">
      <c r="A82">
        <v>81</v>
      </c>
      <c r="B82">
        <v>67</v>
      </c>
      <c r="C82" t="s">
        <v>100</v>
      </c>
      <c r="G82" t="s">
        <v>16</v>
      </c>
      <c r="H82" t="s">
        <v>99</v>
      </c>
      <c r="I82" s="1">
        <v>44212</v>
      </c>
      <c r="J82" t="s">
        <v>18</v>
      </c>
      <c r="L82" t="s">
        <v>101</v>
      </c>
      <c r="P82" t="s">
        <v>20</v>
      </c>
    </row>
    <row r="83" spans="1:16">
      <c r="A83">
        <v>82</v>
      </c>
      <c r="B83">
        <v>714</v>
      </c>
      <c r="C83" t="s">
        <v>419</v>
      </c>
      <c r="G83" t="s">
        <v>70</v>
      </c>
      <c r="H83" t="s">
        <v>193</v>
      </c>
      <c r="I83" s="1">
        <v>44213</v>
      </c>
      <c r="J83" t="s">
        <v>193</v>
      </c>
      <c r="K83" t="s">
        <v>420</v>
      </c>
      <c r="L83" t="s">
        <v>69</v>
      </c>
      <c r="N83">
        <v>1014</v>
      </c>
      <c r="P83" t="s">
        <v>20</v>
      </c>
    </row>
    <row r="84" spans="1:16">
      <c r="A84">
        <v>83</v>
      </c>
      <c r="B84">
        <v>316</v>
      </c>
      <c r="C84" t="s">
        <v>285</v>
      </c>
      <c r="G84" t="s">
        <v>70</v>
      </c>
      <c r="H84" t="s">
        <v>286</v>
      </c>
      <c r="I84" s="1">
        <v>44215</v>
      </c>
      <c r="J84" t="s">
        <v>71</v>
      </c>
      <c r="K84" t="s">
        <v>287</v>
      </c>
      <c r="L84" t="s">
        <v>19</v>
      </c>
      <c r="N84" s="2">
        <v>1334</v>
      </c>
      <c r="P84" t="s">
        <v>20</v>
      </c>
    </row>
    <row r="85" spans="1:16">
      <c r="A85">
        <v>84</v>
      </c>
      <c r="B85">
        <v>294</v>
      </c>
      <c r="C85" t="s">
        <v>281</v>
      </c>
      <c r="G85" t="s">
        <v>70</v>
      </c>
      <c r="H85" t="s">
        <v>193</v>
      </c>
      <c r="I85" s="1">
        <v>44218</v>
      </c>
      <c r="J85" t="s">
        <v>193</v>
      </c>
      <c r="K85" t="s">
        <v>282</v>
      </c>
      <c r="L85" t="s">
        <v>91</v>
      </c>
      <c r="N85">
        <v>180</v>
      </c>
      <c r="P85" t="s">
        <v>20</v>
      </c>
    </row>
    <row r="86" spans="1:16">
      <c r="A86">
        <v>85</v>
      </c>
      <c r="B86">
        <v>128</v>
      </c>
      <c r="C86" t="s">
        <v>157</v>
      </c>
      <c r="G86" t="s">
        <v>49</v>
      </c>
      <c r="H86" t="s">
        <v>50</v>
      </c>
      <c r="I86" s="1">
        <v>44219</v>
      </c>
      <c r="J86" t="s">
        <v>51</v>
      </c>
      <c r="L86" t="s">
        <v>158</v>
      </c>
      <c r="N86">
        <v>5</v>
      </c>
      <c r="P86" t="s">
        <v>20</v>
      </c>
    </row>
    <row r="87" spans="1:16">
      <c r="A87">
        <v>86</v>
      </c>
      <c r="B87">
        <v>216</v>
      </c>
      <c r="C87" t="s">
        <v>233</v>
      </c>
      <c r="G87" t="s">
        <v>70</v>
      </c>
      <c r="H87" t="s">
        <v>193</v>
      </c>
      <c r="I87" s="1">
        <v>44221</v>
      </c>
      <c r="J87" t="s">
        <v>193</v>
      </c>
      <c r="K87" t="s">
        <v>234</v>
      </c>
      <c r="L87" t="s">
        <v>19</v>
      </c>
      <c r="N87">
        <v>446</v>
      </c>
      <c r="P87" t="s">
        <v>20</v>
      </c>
    </row>
    <row r="88" spans="1:16">
      <c r="A88">
        <v>87</v>
      </c>
      <c r="B88">
        <v>215</v>
      </c>
      <c r="C88" t="s">
        <v>227</v>
      </c>
      <c r="G88" t="s">
        <v>16</v>
      </c>
      <c r="H88" t="s">
        <v>42</v>
      </c>
      <c r="I88" s="1">
        <v>44226</v>
      </c>
      <c r="J88" t="s">
        <v>43</v>
      </c>
      <c r="L88" t="s">
        <v>158</v>
      </c>
      <c r="O88" t="s">
        <v>228</v>
      </c>
      <c r="P88" t="s">
        <v>20</v>
      </c>
    </row>
    <row r="89" spans="1:16">
      <c r="A89">
        <v>88</v>
      </c>
      <c r="B89">
        <v>845</v>
      </c>
      <c r="C89" t="s">
        <v>434</v>
      </c>
      <c r="G89" t="s">
        <v>49</v>
      </c>
      <c r="H89" t="s">
        <v>50</v>
      </c>
      <c r="I89" s="1">
        <v>44233</v>
      </c>
      <c r="J89" t="s">
        <v>51</v>
      </c>
      <c r="K89" t="s">
        <v>435</v>
      </c>
      <c r="L89" t="s">
        <v>53</v>
      </c>
      <c r="P89" t="s">
        <v>20</v>
      </c>
    </row>
    <row r="90" spans="1:16">
      <c r="A90">
        <v>89</v>
      </c>
      <c r="B90">
        <v>315</v>
      </c>
      <c r="C90" t="s">
        <v>284</v>
      </c>
      <c r="G90" t="s">
        <v>16</v>
      </c>
      <c r="H90" t="s">
        <v>99</v>
      </c>
      <c r="I90" s="1">
        <v>44234</v>
      </c>
      <c r="J90" t="s">
        <v>18</v>
      </c>
      <c r="L90" t="s">
        <v>22</v>
      </c>
      <c r="P90" t="s">
        <v>20</v>
      </c>
    </row>
    <row r="91" spans="1:16">
      <c r="A91">
        <v>90</v>
      </c>
      <c r="B91">
        <v>154</v>
      </c>
      <c r="C91" t="s">
        <v>177</v>
      </c>
      <c r="G91" t="s">
        <v>178</v>
      </c>
      <c r="H91" t="s">
        <v>174</v>
      </c>
      <c r="I91" s="1">
        <v>44240</v>
      </c>
      <c r="J91" t="s">
        <v>175</v>
      </c>
      <c r="K91" t="s">
        <v>179</v>
      </c>
      <c r="L91" t="s">
        <v>81</v>
      </c>
      <c r="N91">
        <v>4186</v>
      </c>
      <c r="P91" t="s">
        <v>20</v>
      </c>
    </row>
    <row r="92" spans="1:16">
      <c r="A92">
        <v>91</v>
      </c>
      <c r="B92">
        <v>307</v>
      </c>
      <c r="C92" t="s">
        <v>283</v>
      </c>
      <c r="G92" t="s">
        <v>16</v>
      </c>
      <c r="H92" t="s">
        <v>42</v>
      </c>
      <c r="I92" s="1">
        <v>44241</v>
      </c>
      <c r="J92" t="s">
        <v>43</v>
      </c>
      <c r="L92" t="s">
        <v>124</v>
      </c>
      <c r="P92" t="s">
        <v>20</v>
      </c>
    </row>
    <row r="93" spans="1:16">
      <c r="A93">
        <v>92</v>
      </c>
      <c r="B93">
        <v>673</v>
      </c>
      <c r="C93" t="s">
        <v>403</v>
      </c>
      <c r="G93" t="s">
        <v>70</v>
      </c>
      <c r="H93" t="s">
        <v>193</v>
      </c>
      <c r="I93" s="1">
        <v>44248</v>
      </c>
      <c r="J93" t="s">
        <v>193</v>
      </c>
      <c r="K93" t="s">
        <v>404</v>
      </c>
      <c r="L93" t="s">
        <v>97</v>
      </c>
      <c r="N93">
        <v>284</v>
      </c>
      <c r="P93" t="s">
        <v>20</v>
      </c>
    </row>
    <row r="94" spans="1:16">
      <c r="A94">
        <v>93</v>
      </c>
      <c r="B94">
        <v>25</v>
      </c>
      <c r="C94" t="s">
        <v>48</v>
      </c>
      <c r="G94" t="s">
        <v>49</v>
      </c>
      <c r="H94" t="s">
        <v>50</v>
      </c>
      <c r="I94" s="1">
        <v>44253</v>
      </c>
      <c r="J94" t="s">
        <v>51</v>
      </c>
      <c r="K94" t="s">
        <v>52</v>
      </c>
      <c r="L94" t="s">
        <v>53</v>
      </c>
      <c r="O94" t="s">
        <v>54</v>
      </c>
      <c r="P94" t="s">
        <v>20</v>
      </c>
    </row>
    <row r="95" spans="1:16">
      <c r="A95">
        <v>94</v>
      </c>
      <c r="B95">
        <v>163</v>
      </c>
      <c r="C95" t="s">
        <v>192</v>
      </c>
      <c r="G95" t="s">
        <v>70</v>
      </c>
      <c r="H95" t="s">
        <v>193</v>
      </c>
      <c r="I95" s="1">
        <v>44254</v>
      </c>
      <c r="J95" t="s">
        <v>193</v>
      </c>
      <c r="K95" t="s">
        <v>194</v>
      </c>
      <c r="L95" t="s">
        <v>137</v>
      </c>
      <c r="N95">
        <v>202</v>
      </c>
      <c r="P95" t="s">
        <v>20</v>
      </c>
    </row>
    <row r="96" spans="1:16">
      <c r="A96">
        <v>95</v>
      </c>
      <c r="B96">
        <v>152</v>
      </c>
      <c r="C96" t="s">
        <v>172</v>
      </c>
      <c r="G96" t="s">
        <v>173</v>
      </c>
      <c r="H96" t="s">
        <v>174</v>
      </c>
      <c r="I96" s="1">
        <v>44255</v>
      </c>
      <c r="J96" t="s">
        <v>175</v>
      </c>
      <c r="K96" t="s">
        <v>176</v>
      </c>
      <c r="L96" t="s">
        <v>40</v>
      </c>
      <c r="N96">
        <v>3206</v>
      </c>
      <c r="P96" t="s">
        <v>20</v>
      </c>
    </row>
    <row r="97" spans="1:17">
      <c r="A97">
        <v>96</v>
      </c>
      <c r="B97">
        <v>849</v>
      </c>
      <c r="C97" t="s">
        <v>436</v>
      </c>
      <c r="G97" t="s">
        <v>49</v>
      </c>
      <c r="H97" t="s">
        <v>136</v>
      </c>
      <c r="I97" s="1">
        <v>44258</v>
      </c>
      <c r="J97" t="s">
        <v>136</v>
      </c>
      <c r="L97" t="s">
        <v>158</v>
      </c>
      <c r="P97" t="s">
        <v>20</v>
      </c>
    </row>
    <row r="98" spans="1:17">
      <c r="A98">
        <v>97</v>
      </c>
      <c r="B98">
        <v>363</v>
      </c>
      <c r="C98" t="s">
        <v>311</v>
      </c>
      <c r="G98" t="s">
        <v>70</v>
      </c>
      <c r="H98" t="s">
        <v>193</v>
      </c>
      <c r="I98" s="1">
        <v>44262</v>
      </c>
      <c r="J98" t="s">
        <v>193</v>
      </c>
      <c r="K98" t="s">
        <v>312</v>
      </c>
      <c r="L98" t="s">
        <v>81</v>
      </c>
      <c r="N98">
        <v>71</v>
      </c>
      <c r="P98" t="s">
        <v>20</v>
      </c>
    </row>
    <row r="99" spans="1:17">
      <c r="A99">
        <v>98</v>
      </c>
      <c r="B99">
        <v>661</v>
      </c>
      <c r="C99" t="s">
        <v>400</v>
      </c>
      <c r="G99" t="s">
        <v>16</v>
      </c>
      <c r="H99" t="s">
        <v>99</v>
      </c>
      <c r="I99" s="1">
        <v>44262</v>
      </c>
      <c r="J99" t="s">
        <v>18</v>
      </c>
      <c r="L99" t="s">
        <v>37</v>
      </c>
      <c r="P99" t="s">
        <v>20</v>
      </c>
    </row>
    <row r="100" spans="1:17">
      <c r="A100">
        <v>99</v>
      </c>
      <c r="B100">
        <v>662</v>
      </c>
      <c r="C100" t="s">
        <v>401</v>
      </c>
      <c r="G100" t="s">
        <v>16</v>
      </c>
      <c r="H100" t="s">
        <v>99</v>
      </c>
      <c r="I100" s="1">
        <v>44262</v>
      </c>
      <c r="J100" t="s">
        <v>18</v>
      </c>
      <c r="L100" t="s">
        <v>25</v>
      </c>
      <c r="P100" t="s">
        <v>20</v>
      </c>
    </row>
    <row r="101" spans="1:17">
      <c r="A101">
        <v>100</v>
      </c>
      <c r="B101">
        <v>663</v>
      </c>
      <c r="C101" t="s">
        <v>402</v>
      </c>
      <c r="G101" t="s">
        <v>16</v>
      </c>
      <c r="H101" t="s">
        <v>99</v>
      </c>
      <c r="I101" s="1">
        <v>44262</v>
      </c>
      <c r="J101" t="s">
        <v>18</v>
      </c>
      <c r="L101" t="s">
        <v>158</v>
      </c>
      <c r="P101" t="s">
        <v>20</v>
      </c>
    </row>
    <row r="102" spans="1:17">
      <c r="A102">
        <v>101</v>
      </c>
      <c r="B102">
        <v>713</v>
      </c>
      <c r="C102" t="s">
        <v>417</v>
      </c>
      <c r="G102" t="s">
        <v>70</v>
      </c>
      <c r="H102" t="s">
        <v>193</v>
      </c>
      <c r="I102" s="1">
        <v>44262</v>
      </c>
      <c r="J102" t="s">
        <v>193</v>
      </c>
      <c r="K102" t="s">
        <v>418</v>
      </c>
      <c r="L102" t="s">
        <v>57</v>
      </c>
      <c r="N102">
        <v>123</v>
      </c>
      <c r="P102" t="s">
        <v>20</v>
      </c>
    </row>
    <row r="103" spans="1:17">
      <c r="A103">
        <v>102</v>
      </c>
      <c r="B103">
        <v>157</v>
      </c>
      <c r="C103" t="s">
        <v>184</v>
      </c>
      <c r="G103" t="s">
        <v>178</v>
      </c>
      <c r="H103" t="s">
        <v>174</v>
      </c>
      <c r="I103" s="1">
        <v>44267</v>
      </c>
      <c r="J103" t="s">
        <v>175</v>
      </c>
      <c r="K103" t="s">
        <v>185</v>
      </c>
      <c r="L103" t="s">
        <v>137</v>
      </c>
      <c r="N103">
        <v>1367</v>
      </c>
      <c r="P103" t="s">
        <v>20</v>
      </c>
    </row>
    <row r="104" spans="1:17">
      <c r="A104">
        <v>103</v>
      </c>
      <c r="B104">
        <v>366</v>
      </c>
      <c r="C104" t="s">
        <v>313</v>
      </c>
      <c r="G104" t="s">
        <v>70</v>
      </c>
      <c r="H104" t="s">
        <v>314</v>
      </c>
      <c r="I104" s="1">
        <v>44267</v>
      </c>
      <c r="J104" t="s">
        <v>122</v>
      </c>
      <c r="L104" t="s">
        <v>258</v>
      </c>
      <c r="P104" t="s">
        <v>20</v>
      </c>
      <c r="Q104" t="s">
        <v>315</v>
      </c>
    </row>
    <row r="105" spans="1:17">
      <c r="A105">
        <v>104</v>
      </c>
      <c r="B105">
        <v>550</v>
      </c>
      <c r="C105" t="s">
        <v>382</v>
      </c>
      <c r="G105" t="s">
        <v>49</v>
      </c>
      <c r="H105" t="s">
        <v>252</v>
      </c>
      <c r="I105" s="1">
        <v>44268</v>
      </c>
      <c r="J105" t="s">
        <v>253</v>
      </c>
      <c r="K105" t="s">
        <v>383</v>
      </c>
      <c r="L105" t="s">
        <v>101</v>
      </c>
      <c r="P105" t="s">
        <v>20</v>
      </c>
    </row>
    <row r="106" spans="1:17">
      <c r="A106">
        <v>105</v>
      </c>
      <c r="B106">
        <v>844</v>
      </c>
      <c r="C106" t="s">
        <v>432</v>
      </c>
      <c r="G106" t="s">
        <v>49</v>
      </c>
      <c r="H106" t="s">
        <v>252</v>
      </c>
      <c r="I106" s="1">
        <v>44269</v>
      </c>
      <c r="J106" t="s">
        <v>253</v>
      </c>
      <c r="K106" t="s">
        <v>433</v>
      </c>
      <c r="L106" t="s">
        <v>91</v>
      </c>
      <c r="P106" t="s">
        <v>20</v>
      </c>
    </row>
    <row r="107" spans="1:17">
      <c r="A107">
        <v>106</v>
      </c>
      <c r="B107">
        <v>100</v>
      </c>
      <c r="C107" t="s">
        <v>140</v>
      </c>
      <c r="G107" t="s">
        <v>16</v>
      </c>
      <c r="H107" t="s">
        <v>99</v>
      </c>
      <c r="I107" s="1">
        <v>44271</v>
      </c>
      <c r="J107" t="s">
        <v>28</v>
      </c>
      <c r="K107" t="s">
        <v>141</v>
      </c>
      <c r="N107">
        <v>27</v>
      </c>
      <c r="P107" t="s">
        <v>20</v>
      </c>
    </row>
    <row r="108" spans="1:17">
      <c r="A108">
        <v>107</v>
      </c>
      <c r="B108">
        <v>155</v>
      </c>
      <c r="C108" t="s">
        <v>180</v>
      </c>
      <c r="G108" t="s">
        <v>178</v>
      </c>
      <c r="H108" t="s">
        <v>174</v>
      </c>
      <c r="I108" s="1">
        <v>44278</v>
      </c>
      <c r="J108" t="s">
        <v>175</v>
      </c>
      <c r="K108" t="s">
        <v>181</v>
      </c>
      <c r="L108" t="s">
        <v>94</v>
      </c>
      <c r="N108">
        <v>788</v>
      </c>
      <c r="P108" t="s">
        <v>20</v>
      </c>
    </row>
    <row r="109" spans="1:17">
      <c r="A109">
        <v>108</v>
      </c>
      <c r="B109">
        <v>558</v>
      </c>
      <c r="C109" t="s">
        <v>384</v>
      </c>
      <c r="G109" t="s">
        <v>60</v>
      </c>
      <c r="H109" t="s">
        <v>246</v>
      </c>
      <c r="I109" s="1">
        <v>44287</v>
      </c>
      <c r="J109" t="s">
        <v>247</v>
      </c>
      <c r="K109" t="s">
        <v>385</v>
      </c>
      <c r="L109" t="s">
        <v>81</v>
      </c>
      <c r="O109" t="s">
        <v>386</v>
      </c>
      <c r="P109" t="s">
        <v>20</v>
      </c>
    </row>
    <row r="110" spans="1:17">
      <c r="A110">
        <v>109</v>
      </c>
      <c r="B110">
        <v>495</v>
      </c>
      <c r="C110" t="s">
        <v>368</v>
      </c>
      <c r="G110" t="s">
        <v>16</v>
      </c>
      <c r="H110" t="s">
        <v>369</v>
      </c>
      <c r="I110" s="1">
        <v>44297</v>
      </c>
      <c r="J110" t="s">
        <v>18</v>
      </c>
      <c r="P110" t="s">
        <v>20</v>
      </c>
    </row>
    <row r="111" spans="1:17">
      <c r="A111">
        <v>110</v>
      </c>
      <c r="B111">
        <v>496</v>
      </c>
      <c r="C111" t="s">
        <v>370</v>
      </c>
      <c r="G111" t="s">
        <v>16</v>
      </c>
      <c r="H111" t="s">
        <v>369</v>
      </c>
      <c r="I111" s="1">
        <v>44297</v>
      </c>
      <c r="J111" t="s">
        <v>18</v>
      </c>
      <c r="P111" t="s">
        <v>20</v>
      </c>
    </row>
    <row r="112" spans="1:17">
      <c r="A112">
        <v>111</v>
      </c>
      <c r="B112">
        <v>497</v>
      </c>
      <c r="C112" t="s">
        <v>371</v>
      </c>
      <c r="G112" t="s">
        <v>16</v>
      </c>
      <c r="H112" t="s">
        <v>369</v>
      </c>
      <c r="I112" s="1">
        <v>44297</v>
      </c>
      <c r="J112" t="s">
        <v>18</v>
      </c>
      <c r="P112" t="s">
        <v>20</v>
      </c>
    </row>
    <row r="113" spans="1:16">
      <c r="A113">
        <v>112</v>
      </c>
      <c r="B113">
        <v>327</v>
      </c>
      <c r="C113" t="s">
        <v>291</v>
      </c>
      <c r="G113" t="s">
        <v>85</v>
      </c>
      <c r="H113" t="s">
        <v>292</v>
      </c>
      <c r="I113" s="1">
        <v>44306</v>
      </c>
      <c r="J113" t="s">
        <v>205</v>
      </c>
      <c r="K113" t="s">
        <v>293</v>
      </c>
      <c r="L113" t="s">
        <v>73</v>
      </c>
      <c r="N113">
        <v>825</v>
      </c>
      <c r="P113" t="s">
        <v>20</v>
      </c>
    </row>
    <row r="114" spans="1:16">
      <c r="A114">
        <v>113</v>
      </c>
      <c r="B114">
        <v>26</v>
      </c>
      <c r="C114" t="s">
        <v>55</v>
      </c>
      <c r="D114" t="s">
        <v>59</v>
      </c>
      <c r="G114" t="s">
        <v>60</v>
      </c>
      <c r="H114" t="s">
        <v>61</v>
      </c>
      <c r="I114" s="1">
        <v>44311</v>
      </c>
      <c r="J114" t="s">
        <v>62</v>
      </c>
      <c r="K114" t="s">
        <v>63</v>
      </c>
      <c r="L114" t="s">
        <v>64</v>
      </c>
      <c r="N114">
        <v>32</v>
      </c>
      <c r="O114" t="s">
        <v>65</v>
      </c>
      <c r="P114" t="s">
        <v>20</v>
      </c>
    </row>
    <row r="115" spans="1:16">
      <c r="A115">
        <v>114</v>
      </c>
      <c r="B115">
        <v>448</v>
      </c>
      <c r="C115" t="s">
        <v>348</v>
      </c>
      <c r="G115" t="s">
        <v>60</v>
      </c>
      <c r="H115" t="s">
        <v>349</v>
      </c>
      <c r="I115" s="1">
        <v>44312</v>
      </c>
      <c r="J115" t="s">
        <v>62</v>
      </c>
      <c r="K115" t="s">
        <v>350</v>
      </c>
      <c r="L115" t="s">
        <v>37</v>
      </c>
      <c r="N115">
        <v>73</v>
      </c>
      <c r="O115" t="s">
        <v>351</v>
      </c>
      <c r="P115" t="s">
        <v>20</v>
      </c>
    </row>
    <row r="116" spans="1:16">
      <c r="A116">
        <v>115</v>
      </c>
      <c r="B116">
        <v>806</v>
      </c>
      <c r="C116" t="s">
        <v>422</v>
      </c>
      <c r="G116" t="s">
        <v>60</v>
      </c>
      <c r="H116" t="s">
        <v>349</v>
      </c>
      <c r="I116" s="1">
        <v>44314</v>
      </c>
      <c r="J116" t="s">
        <v>43</v>
      </c>
      <c r="K116" t="s">
        <v>423</v>
      </c>
      <c r="L116" t="s">
        <v>40</v>
      </c>
      <c r="N116">
        <v>275</v>
      </c>
      <c r="O116" t="s">
        <v>424</v>
      </c>
      <c r="P116" t="s">
        <v>20</v>
      </c>
    </row>
    <row r="117" spans="1:16">
      <c r="A117">
        <v>116</v>
      </c>
      <c r="B117">
        <v>235</v>
      </c>
      <c r="C117" t="s">
        <v>242</v>
      </c>
      <c r="G117" t="s">
        <v>16</v>
      </c>
      <c r="H117" t="s">
        <v>243</v>
      </c>
      <c r="I117" s="1">
        <v>44316</v>
      </c>
      <c r="J117" t="s">
        <v>43</v>
      </c>
      <c r="K117" t="s">
        <v>244</v>
      </c>
      <c r="N117">
        <v>22</v>
      </c>
      <c r="P117" t="s">
        <v>20</v>
      </c>
    </row>
    <row r="118" spans="1:16">
      <c r="A118">
        <v>117</v>
      </c>
      <c r="B118">
        <v>534</v>
      </c>
      <c r="C118" t="s">
        <v>378</v>
      </c>
      <c r="G118" t="s">
        <v>70</v>
      </c>
      <c r="H118" t="s">
        <v>379</v>
      </c>
      <c r="I118" s="1">
        <v>44337</v>
      </c>
      <c r="J118" t="s">
        <v>43</v>
      </c>
      <c r="K118" t="s">
        <v>380</v>
      </c>
      <c r="L118" t="s">
        <v>40</v>
      </c>
      <c r="P118" t="s">
        <v>20</v>
      </c>
    </row>
    <row r="119" spans="1:16">
      <c r="A119">
        <v>118</v>
      </c>
      <c r="B119">
        <v>831</v>
      </c>
      <c r="C119" t="s">
        <v>430</v>
      </c>
      <c r="G119" t="s">
        <v>49</v>
      </c>
      <c r="H119" t="s">
        <v>50</v>
      </c>
      <c r="I119" s="1">
        <v>44338</v>
      </c>
      <c r="J119" t="s">
        <v>51</v>
      </c>
      <c r="K119" t="s">
        <v>431</v>
      </c>
      <c r="L119" t="s">
        <v>73</v>
      </c>
      <c r="N119">
        <v>3</v>
      </c>
      <c r="P119" t="s">
        <v>20</v>
      </c>
    </row>
    <row r="120" spans="1:16">
      <c r="A120">
        <v>119</v>
      </c>
      <c r="B120">
        <v>621</v>
      </c>
      <c r="C120" t="s">
        <v>394</v>
      </c>
      <c r="G120" t="s">
        <v>49</v>
      </c>
      <c r="H120" t="s">
        <v>395</v>
      </c>
      <c r="I120" s="1">
        <v>44339</v>
      </c>
      <c r="J120" t="s">
        <v>43</v>
      </c>
      <c r="K120" t="s">
        <v>396</v>
      </c>
      <c r="L120" t="s">
        <v>73</v>
      </c>
      <c r="P120" t="s">
        <v>20</v>
      </c>
    </row>
    <row r="121" spans="1:16">
      <c r="A121">
        <v>120</v>
      </c>
      <c r="B121">
        <v>444</v>
      </c>
      <c r="C121" t="s">
        <v>345</v>
      </c>
      <c r="G121" t="s">
        <v>16</v>
      </c>
      <c r="H121" t="s">
        <v>308</v>
      </c>
      <c r="I121" s="1">
        <v>44353</v>
      </c>
      <c r="J121" t="s">
        <v>18</v>
      </c>
      <c r="P121" t="s">
        <v>20</v>
      </c>
    </row>
    <row r="122" spans="1:16">
      <c r="A122">
        <v>121</v>
      </c>
      <c r="B122">
        <v>445</v>
      </c>
      <c r="C122" t="s">
        <v>346</v>
      </c>
      <c r="G122" t="s">
        <v>16</v>
      </c>
      <c r="H122" t="s">
        <v>308</v>
      </c>
      <c r="I122" s="1">
        <v>44353</v>
      </c>
      <c r="J122" t="s">
        <v>18</v>
      </c>
      <c r="K122" t="s">
        <v>347</v>
      </c>
      <c r="P122" t="s">
        <v>20</v>
      </c>
    </row>
    <row r="123" spans="1:16">
      <c r="A123">
        <v>122</v>
      </c>
      <c r="B123">
        <v>79</v>
      </c>
      <c r="C123" t="s">
        <v>125</v>
      </c>
      <c r="G123" t="s">
        <v>16</v>
      </c>
      <c r="H123" t="s">
        <v>27</v>
      </c>
      <c r="I123" s="1">
        <v>44362</v>
      </c>
      <c r="J123" t="s">
        <v>28</v>
      </c>
      <c r="K123" t="s">
        <v>126</v>
      </c>
      <c r="N123">
        <v>42</v>
      </c>
      <c r="P123" t="s">
        <v>20</v>
      </c>
    </row>
    <row r="124" spans="1:16">
      <c r="A124">
        <v>123</v>
      </c>
      <c r="B124">
        <v>8</v>
      </c>
      <c r="C124" t="s">
        <v>29</v>
      </c>
      <c r="G124" t="s">
        <v>16</v>
      </c>
      <c r="H124" t="s">
        <v>27</v>
      </c>
      <c r="I124" s="1">
        <v>44397</v>
      </c>
      <c r="J124" t="s">
        <v>18</v>
      </c>
      <c r="M124" t="s">
        <v>30</v>
      </c>
      <c r="P124" t="s">
        <v>20</v>
      </c>
    </row>
    <row r="125" spans="1:16">
      <c r="A125">
        <v>124</v>
      </c>
      <c r="B125">
        <v>7</v>
      </c>
      <c r="C125" t="s">
        <v>26</v>
      </c>
      <c r="G125" t="s">
        <v>16</v>
      </c>
      <c r="H125" t="s">
        <v>27</v>
      </c>
      <c r="I125" s="1">
        <v>44398</v>
      </c>
      <c r="J125" t="s">
        <v>28</v>
      </c>
      <c r="N125">
        <v>20</v>
      </c>
      <c r="P125" t="s">
        <v>20</v>
      </c>
    </row>
    <row r="126" spans="1:16">
      <c r="A126">
        <v>125</v>
      </c>
      <c r="B126">
        <v>356</v>
      </c>
      <c r="C126" t="s">
        <v>307</v>
      </c>
      <c r="G126" t="s">
        <v>16</v>
      </c>
      <c r="H126" t="s">
        <v>308</v>
      </c>
      <c r="I126" s="1">
        <v>44478</v>
      </c>
      <c r="J126" t="s">
        <v>309</v>
      </c>
      <c r="K126" t="s">
        <v>310</v>
      </c>
      <c r="P126" t="s">
        <v>20</v>
      </c>
    </row>
    <row r="127" spans="1:16">
      <c r="A127">
        <v>126</v>
      </c>
      <c r="B127">
        <v>477</v>
      </c>
      <c r="C127" t="s">
        <v>363</v>
      </c>
      <c r="G127" t="s">
        <v>16</v>
      </c>
      <c r="H127" t="s">
        <v>308</v>
      </c>
      <c r="I127" s="1">
        <v>44478</v>
      </c>
      <c r="J127" t="s">
        <v>18</v>
      </c>
      <c r="P127" t="s">
        <v>20</v>
      </c>
    </row>
    <row r="128" spans="1:16">
      <c r="A128">
        <v>127</v>
      </c>
      <c r="B128">
        <v>888</v>
      </c>
      <c r="C128" t="s">
        <v>437</v>
      </c>
      <c r="G128" t="s">
        <v>438</v>
      </c>
      <c r="H128" t="s">
        <v>136</v>
      </c>
      <c r="I128" s="1">
        <v>44497</v>
      </c>
      <c r="J128" t="s">
        <v>136</v>
      </c>
      <c r="L128" t="s">
        <v>34</v>
      </c>
      <c r="P128" t="s">
        <v>20</v>
      </c>
    </row>
    <row r="129" spans="1:17">
      <c r="A129">
        <v>128</v>
      </c>
      <c r="B129">
        <v>889</v>
      </c>
      <c r="C129" t="s">
        <v>439</v>
      </c>
      <c r="G129" t="s">
        <v>49</v>
      </c>
      <c r="H129" t="s">
        <v>136</v>
      </c>
      <c r="I129" s="1">
        <v>44497</v>
      </c>
      <c r="J129" t="s">
        <v>136</v>
      </c>
      <c r="L129" t="s">
        <v>34</v>
      </c>
      <c r="P129" t="s">
        <v>20</v>
      </c>
    </row>
    <row r="130" spans="1:17">
      <c r="A130">
        <v>129</v>
      </c>
      <c r="B130">
        <v>243</v>
      </c>
      <c r="C130" t="s">
        <v>245</v>
      </c>
      <c r="G130" t="s">
        <v>60</v>
      </c>
      <c r="H130" t="s">
        <v>246</v>
      </c>
      <c r="I130" s="1">
        <v>44508</v>
      </c>
      <c r="J130" t="s">
        <v>247</v>
      </c>
      <c r="L130" t="s">
        <v>94</v>
      </c>
      <c r="N130">
        <v>1032</v>
      </c>
      <c r="P130" t="s">
        <v>20</v>
      </c>
    </row>
    <row r="131" spans="1:17">
      <c r="A131">
        <v>130</v>
      </c>
      <c r="B131">
        <v>403</v>
      </c>
      <c r="C131" t="s">
        <v>329</v>
      </c>
      <c r="G131" t="s">
        <v>16</v>
      </c>
      <c r="I131" s="1">
        <v>44521</v>
      </c>
      <c r="J131" t="s">
        <v>18</v>
      </c>
      <c r="P131" t="s">
        <v>20</v>
      </c>
    </row>
    <row r="132" spans="1:17">
      <c r="A132">
        <v>131</v>
      </c>
      <c r="B132">
        <v>404</v>
      </c>
      <c r="C132" t="s">
        <v>330</v>
      </c>
      <c r="G132" t="s">
        <v>16</v>
      </c>
      <c r="I132" s="1">
        <v>44521</v>
      </c>
      <c r="J132" t="s">
        <v>18</v>
      </c>
      <c r="P132" t="s">
        <v>20</v>
      </c>
    </row>
    <row r="133" spans="1:17">
      <c r="A133">
        <v>132</v>
      </c>
      <c r="B133">
        <v>405</v>
      </c>
      <c r="C133" t="s">
        <v>331</v>
      </c>
      <c r="G133" t="s">
        <v>16</v>
      </c>
      <c r="I133" s="1">
        <v>44521</v>
      </c>
      <c r="J133" t="s">
        <v>18</v>
      </c>
      <c r="P133" t="s">
        <v>20</v>
      </c>
    </row>
    <row r="134" spans="1:17">
      <c r="A134">
        <v>133</v>
      </c>
      <c r="B134">
        <v>581</v>
      </c>
      <c r="C134" t="s">
        <v>388</v>
      </c>
      <c r="G134" t="s">
        <v>70</v>
      </c>
      <c r="H134" t="s">
        <v>193</v>
      </c>
      <c r="I134" s="1">
        <v>44525</v>
      </c>
      <c r="J134" t="s">
        <v>193</v>
      </c>
      <c r="K134" t="s">
        <v>389</v>
      </c>
      <c r="L134" t="s">
        <v>37</v>
      </c>
      <c r="N134">
        <v>266</v>
      </c>
      <c r="P134" t="s">
        <v>20</v>
      </c>
    </row>
    <row r="135" spans="1:17">
      <c r="A135">
        <v>134</v>
      </c>
      <c r="B135">
        <v>400</v>
      </c>
      <c r="C135" t="s">
        <v>327</v>
      </c>
      <c r="G135" t="s">
        <v>200</v>
      </c>
      <c r="H135" t="s">
        <v>221</v>
      </c>
      <c r="I135" s="1">
        <v>44561</v>
      </c>
      <c r="J135" t="s">
        <v>202</v>
      </c>
      <c r="K135" t="s">
        <v>328</v>
      </c>
      <c r="L135" t="s">
        <v>81</v>
      </c>
      <c r="N135">
        <v>1</v>
      </c>
      <c r="P135" t="s">
        <v>20</v>
      </c>
    </row>
    <row r="136" spans="1:17">
      <c r="A136">
        <v>135</v>
      </c>
      <c r="B136">
        <v>398</v>
      </c>
      <c r="C136" t="s">
        <v>325</v>
      </c>
      <c r="G136" t="s">
        <v>200</v>
      </c>
      <c r="H136" t="s">
        <v>221</v>
      </c>
      <c r="I136" s="1">
        <v>44564</v>
      </c>
      <c r="J136" t="s">
        <v>202</v>
      </c>
      <c r="K136" t="s">
        <v>326</v>
      </c>
      <c r="L136" t="s">
        <v>53</v>
      </c>
      <c r="N136">
        <v>17</v>
      </c>
      <c r="P136" t="s">
        <v>20</v>
      </c>
    </row>
    <row r="137" spans="1:17">
      <c r="A137">
        <v>136</v>
      </c>
      <c r="B137">
        <v>181</v>
      </c>
      <c r="C137" t="s">
        <v>199</v>
      </c>
      <c r="G137" t="s">
        <v>200</v>
      </c>
      <c r="H137" t="s">
        <v>201</v>
      </c>
      <c r="I137" s="1">
        <v>44574</v>
      </c>
      <c r="J137" t="s">
        <v>202</v>
      </c>
      <c r="K137" t="s">
        <v>203</v>
      </c>
      <c r="L137" t="s">
        <v>81</v>
      </c>
      <c r="P137" t="s">
        <v>20</v>
      </c>
    </row>
    <row r="138" spans="1:17">
      <c r="A138">
        <v>137</v>
      </c>
      <c r="B138">
        <v>160</v>
      </c>
      <c r="C138" t="s">
        <v>188</v>
      </c>
      <c r="G138" t="s">
        <v>178</v>
      </c>
      <c r="H138" t="s">
        <v>174</v>
      </c>
      <c r="I138" s="1">
        <v>44579</v>
      </c>
      <c r="J138" t="s">
        <v>175</v>
      </c>
      <c r="K138" t="s">
        <v>189</v>
      </c>
      <c r="P138" t="s">
        <v>20</v>
      </c>
      <c r="Q138" t="s">
        <v>190</v>
      </c>
    </row>
    <row r="139" spans="1:17">
      <c r="A139">
        <v>138</v>
      </c>
      <c r="B139">
        <v>78</v>
      </c>
      <c r="C139" t="s">
        <v>121</v>
      </c>
      <c r="G139" t="s">
        <v>113</v>
      </c>
      <c r="H139" t="s">
        <v>119</v>
      </c>
      <c r="I139" s="1">
        <v>44592</v>
      </c>
      <c r="J139" t="s">
        <v>122</v>
      </c>
      <c r="K139" t="s">
        <v>123</v>
      </c>
      <c r="L139" t="s">
        <v>124</v>
      </c>
      <c r="P139" t="s">
        <v>20</v>
      </c>
    </row>
    <row r="140" spans="1:17">
      <c r="A140">
        <v>139</v>
      </c>
      <c r="B140">
        <v>455</v>
      </c>
      <c r="C140" t="s">
        <v>354</v>
      </c>
      <c r="G140" t="s">
        <v>113</v>
      </c>
      <c r="H140" t="s">
        <v>355</v>
      </c>
      <c r="I140" s="1">
        <v>44607</v>
      </c>
      <c r="J140" t="s">
        <v>43</v>
      </c>
      <c r="K140" t="s">
        <v>356</v>
      </c>
      <c r="L140" t="s">
        <v>258</v>
      </c>
      <c r="P140" t="s">
        <v>20</v>
      </c>
    </row>
    <row r="141" spans="1:17">
      <c r="A141">
        <v>140</v>
      </c>
      <c r="B141">
        <v>73</v>
      </c>
      <c r="C141" t="s">
        <v>112</v>
      </c>
      <c r="G141" t="s">
        <v>113</v>
      </c>
      <c r="H141" t="s">
        <v>114</v>
      </c>
      <c r="I141" s="1">
        <v>44617</v>
      </c>
      <c r="J141" t="s">
        <v>115</v>
      </c>
      <c r="K141" t="s">
        <v>116</v>
      </c>
      <c r="L141" t="s">
        <v>117</v>
      </c>
      <c r="P141" t="s">
        <v>20</v>
      </c>
    </row>
    <row r="142" spans="1:17">
      <c r="A142">
        <v>141</v>
      </c>
      <c r="B142">
        <v>77</v>
      </c>
      <c r="C142" t="s">
        <v>118</v>
      </c>
      <c r="G142" t="s">
        <v>113</v>
      </c>
      <c r="H142" t="s">
        <v>119</v>
      </c>
      <c r="I142" s="1">
        <v>44617</v>
      </c>
      <c r="J142" t="s">
        <v>120</v>
      </c>
      <c r="L142" t="s">
        <v>40</v>
      </c>
      <c r="P142" t="s">
        <v>20</v>
      </c>
    </row>
    <row r="143" spans="1:17">
      <c r="A143">
        <v>142</v>
      </c>
      <c r="B143">
        <v>268</v>
      </c>
      <c r="C143" t="s">
        <v>273</v>
      </c>
      <c r="G143" t="s">
        <v>113</v>
      </c>
      <c r="H143" t="s">
        <v>119</v>
      </c>
      <c r="I143" s="1">
        <v>44617</v>
      </c>
      <c r="J143" t="s">
        <v>43</v>
      </c>
      <c r="L143" t="s">
        <v>124</v>
      </c>
      <c r="P143" t="s">
        <v>20</v>
      </c>
    </row>
    <row r="144" spans="1:17">
      <c r="A144">
        <v>143</v>
      </c>
      <c r="B144">
        <v>406</v>
      </c>
      <c r="C144" t="s">
        <v>332</v>
      </c>
      <c r="G144" t="s">
        <v>113</v>
      </c>
      <c r="H144" t="s">
        <v>333</v>
      </c>
      <c r="I144" s="1">
        <v>44617</v>
      </c>
      <c r="J144" t="s">
        <v>43</v>
      </c>
      <c r="L144" t="s">
        <v>37</v>
      </c>
      <c r="P144" t="s">
        <v>20</v>
      </c>
    </row>
    <row r="145" spans="1:16">
      <c r="A145">
        <v>144</v>
      </c>
      <c r="B145">
        <v>901</v>
      </c>
      <c r="C145" t="s">
        <v>440</v>
      </c>
      <c r="G145" t="s">
        <v>113</v>
      </c>
      <c r="H145" t="s">
        <v>355</v>
      </c>
      <c r="I145" s="1">
        <v>44617</v>
      </c>
      <c r="J145" t="s">
        <v>115</v>
      </c>
      <c r="K145" t="s">
        <v>441</v>
      </c>
      <c r="L145" t="s">
        <v>64</v>
      </c>
      <c r="P145" t="s">
        <v>20</v>
      </c>
    </row>
    <row r="146" spans="1:16">
      <c r="A146">
        <v>145</v>
      </c>
      <c r="B146">
        <v>220</v>
      </c>
      <c r="C146" t="s">
        <v>235</v>
      </c>
      <c r="G146" t="s">
        <v>113</v>
      </c>
      <c r="H146" t="s">
        <v>236</v>
      </c>
      <c r="I146" s="1">
        <v>44623</v>
      </c>
      <c r="J146" t="s">
        <v>115</v>
      </c>
      <c r="L146" t="s">
        <v>53</v>
      </c>
      <c r="P146" t="s">
        <v>20</v>
      </c>
    </row>
    <row r="147" spans="1:16">
      <c r="A147">
        <v>146</v>
      </c>
      <c r="B147">
        <v>425</v>
      </c>
      <c r="C147" t="s">
        <v>336</v>
      </c>
      <c r="G147" t="s">
        <v>113</v>
      </c>
      <c r="H147" t="s">
        <v>114</v>
      </c>
      <c r="I147" s="1">
        <v>44683</v>
      </c>
      <c r="J147" t="s">
        <v>115</v>
      </c>
      <c r="K147" t="s">
        <v>337</v>
      </c>
      <c r="L147" t="s">
        <v>91</v>
      </c>
      <c r="P147" t="s">
        <v>20</v>
      </c>
    </row>
    <row r="148" spans="1:16">
      <c r="A148">
        <v>147</v>
      </c>
      <c r="B148">
        <v>215</v>
      </c>
      <c r="C148" t="s">
        <v>229</v>
      </c>
      <c r="D148" t="s">
        <v>230</v>
      </c>
      <c r="G148" t="s">
        <v>113</v>
      </c>
      <c r="H148" t="s">
        <v>231</v>
      </c>
      <c r="I148" s="1">
        <v>44684</v>
      </c>
      <c r="J148" t="s">
        <v>115</v>
      </c>
      <c r="K148" t="s">
        <v>232</v>
      </c>
      <c r="L148" t="s">
        <v>64</v>
      </c>
      <c r="P148" t="s">
        <v>20</v>
      </c>
    </row>
    <row r="149" spans="1:16">
      <c r="A149">
        <v>148</v>
      </c>
      <c r="B149">
        <v>265</v>
      </c>
      <c r="C149" t="s">
        <v>270</v>
      </c>
      <c r="G149" t="s">
        <v>16</v>
      </c>
      <c r="H149" t="s">
        <v>271</v>
      </c>
      <c r="I149" s="1">
        <v>44702</v>
      </c>
      <c r="J149" t="s">
        <v>43</v>
      </c>
      <c r="L149" t="s">
        <v>272</v>
      </c>
      <c r="M149" t="s">
        <v>30</v>
      </c>
      <c r="N149">
        <v>0</v>
      </c>
      <c r="P149" t="s">
        <v>20</v>
      </c>
    </row>
    <row r="150" spans="1:16">
      <c r="A150">
        <v>149</v>
      </c>
      <c r="B150">
        <v>28</v>
      </c>
      <c r="C150" t="s">
        <v>66</v>
      </c>
      <c r="G150" t="s">
        <v>70</v>
      </c>
      <c r="H150" t="s">
        <v>42</v>
      </c>
      <c r="J150" t="s">
        <v>71</v>
      </c>
      <c r="K150" t="s">
        <v>72</v>
      </c>
      <c r="L150" t="s">
        <v>73</v>
      </c>
      <c r="P150" t="s">
        <v>20</v>
      </c>
    </row>
    <row r="151" spans="1:16">
      <c r="A151">
        <v>150</v>
      </c>
      <c r="B151">
        <v>43</v>
      </c>
      <c r="C151" t="s">
        <v>84</v>
      </c>
      <c r="G151" t="s">
        <v>85</v>
      </c>
      <c r="H151" t="s">
        <v>86</v>
      </c>
      <c r="J151" t="s">
        <v>71</v>
      </c>
      <c r="K151" t="s">
        <v>87</v>
      </c>
      <c r="L151" t="s">
        <v>37</v>
      </c>
      <c r="P151" t="s">
        <v>20</v>
      </c>
    </row>
    <row r="152" spans="1:16">
      <c r="A152">
        <v>151</v>
      </c>
      <c r="B152">
        <v>94</v>
      </c>
      <c r="C152" t="s">
        <v>135</v>
      </c>
      <c r="G152" t="s">
        <v>85</v>
      </c>
      <c r="H152" t="s">
        <v>136</v>
      </c>
      <c r="J152" t="s">
        <v>136</v>
      </c>
      <c r="L152" t="s">
        <v>137</v>
      </c>
      <c r="P152" t="s">
        <v>20</v>
      </c>
    </row>
    <row r="153" spans="1:16">
      <c r="A153">
        <v>152</v>
      </c>
      <c r="B153">
        <v>121</v>
      </c>
      <c r="C153" t="s">
        <v>150</v>
      </c>
      <c r="G153" t="s">
        <v>70</v>
      </c>
      <c r="H153" t="s">
        <v>42</v>
      </c>
      <c r="J153" t="s">
        <v>151</v>
      </c>
      <c r="K153" t="s">
        <v>152</v>
      </c>
      <c r="L153" t="s">
        <v>101</v>
      </c>
      <c r="O153" t="s">
        <v>153</v>
      </c>
      <c r="P153" t="s">
        <v>20</v>
      </c>
    </row>
    <row r="154" spans="1:16">
      <c r="A154">
        <v>153</v>
      </c>
      <c r="B154">
        <v>156</v>
      </c>
      <c r="C154" t="s">
        <v>182</v>
      </c>
      <c r="G154" t="s">
        <v>173</v>
      </c>
      <c r="H154" t="s">
        <v>174</v>
      </c>
      <c r="J154" t="s">
        <v>175</v>
      </c>
      <c r="K154" t="s">
        <v>183</v>
      </c>
      <c r="L154" t="s">
        <v>105</v>
      </c>
      <c r="P154" t="s">
        <v>20</v>
      </c>
    </row>
    <row r="155" spans="1:16">
      <c r="A155">
        <v>154</v>
      </c>
      <c r="B155">
        <v>158</v>
      </c>
      <c r="C155" t="s">
        <v>186</v>
      </c>
      <c r="G155" t="s">
        <v>173</v>
      </c>
      <c r="H155" t="s">
        <v>174</v>
      </c>
      <c r="J155" t="s">
        <v>175</v>
      </c>
      <c r="K155" t="s">
        <v>187</v>
      </c>
      <c r="L155" t="s">
        <v>91</v>
      </c>
      <c r="P155" t="s">
        <v>20</v>
      </c>
    </row>
    <row r="156" spans="1:16">
      <c r="A156">
        <v>155</v>
      </c>
      <c r="B156">
        <v>175</v>
      </c>
      <c r="C156" t="s">
        <v>195</v>
      </c>
      <c r="G156" t="s">
        <v>196</v>
      </c>
      <c r="H156" t="s">
        <v>42</v>
      </c>
      <c r="J156" t="s">
        <v>197</v>
      </c>
      <c r="K156" t="s">
        <v>198</v>
      </c>
      <c r="P156" t="s">
        <v>20</v>
      </c>
    </row>
    <row r="157" spans="1:16">
      <c r="A157">
        <v>156</v>
      </c>
      <c r="B157">
        <v>183</v>
      </c>
      <c r="C157" t="s">
        <v>207</v>
      </c>
      <c r="G157" t="s">
        <v>85</v>
      </c>
      <c r="H157" t="s">
        <v>208</v>
      </c>
      <c r="J157" t="s">
        <v>205</v>
      </c>
      <c r="L157" t="s">
        <v>22</v>
      </c>
      <c r="P157" t="s">
        <v>20</v>
      </c>
    </row>
    <row r="158" spans="1:16">
      <c r="A158">
        <v>157</v>
      </c>
      <c r="B158">
        <v>185</v>
      </c>
      <c r="C158" t="s">
        <v>209</v>
      </c>
      <c r="G158" t="s">
        <v>16</v>
      </c>
      <c r="H158" t="s">
        <v>42</v>
      </c>
      <c r="J158" t="s">
        <v>43</v>
      </c>
      <c r="K158" t="s">
        <v>210</v>
      </c>
      <c r="L158" t="s">
        <v>34</v>
      </c>
      <c r="P158" t="s">
        <v>20</v>
      </c>
    </row>
    <row r="159" spans="1:16">
      <c r="A159">
        <v>158</v>
      </c>
      <c r="B159">
        <v>194</v>
      </c>
      <c r="C159" t="s">
        <v>216</v>
      </c>
      <c r="G159" t="s">
        <v>16</v>
      </c>
      <c r="H159" t="s">
        <v>42</v>
      </c>
      <c r="J159" t="s">
        <v>43</v>
      </c>
      <c r="K159" t="s">
        <v>217</v>
      </c>
      <c r="L159" t="s">
        <v>137</v>
      </c>
      <c r="P159" t="s">
        <v>20</v>
      </c>
    </row>
    <row r="160" spans="1:16">
      <c r="A160">
        <v>159</v>
      </c>
      <c r="B160">
        <v>263</v>
      </c>
      <c r="C160" t="s">
        <v>268</v>
      </c>
      <c r="G160" t="s">
        <v>85</v>
      </c>
      <c r="H160" t="s">
        <v>208</v>
      </c>
      <c r="J160" t="s">
        <v>205</v>
      </c>
      <c r="K160" t="s">
        <v>269</v>
      </c>
      <c r="L160" t="s">
        <v>53</v>
      </c>
      <c r="P160" t="s">
        <v>20</v>
      </c>
    </row>
    <row r="161" spans="1:16">
      <c r="A161">
        <v>160</v>
      </c>
      <c r="B161">
        <v>319</v>
      </c>
      <c r="C161" t="s">
        <v>288</v>
      </c>
      <c r="G161" t="s">
        <v>16</v>
      </c>
      <c r="H161" t="s">
        <v>289</v>
      </c>
      <c r="J161" t="s">
        <v>43</v>
      </c>
      <c r="K161" t="s">
        <v>290</v>
      </c>
      <c r="L161" t="s">
        <v>73</v>
      </c>
      <c r="P161" t="s">
        <v>20</v>
      </c>
    </row>
    <row r="162" spans="1:16">
      <c r="A162">
        <v>161</v>
      </c>
      <c r="B162">
        <v>330</v>
      </c>
      <c r="C162" t="s">
        <v>294</v>
      </c>
      <c r="G162" t="s">
        <v>16</v>
      </c>
      <c r="H162" t="s">
        <v>42</v>
      </c>
      <c r="J162" t="s">
        <v>43</v>
      </c>
      <c r="K162" t="s">
        <v>295</v>
      </c>
      <c r="L162" t="s">
        <v>124</v>
      </c>
      <c r="P162" t="s">
        <v>20</v>
      </c>
    </row>
    <row r="163" spans="1:16">
      <c r="A163">
        <v>162</v>
      </c>
      <c r="B163">
        <v>334</v>
      </c>
      <c r="C163" t="s">
        <v>296</v>
      </c>
      <c r="G163" t="s">
        <v>85</v>
      </c>
      <c r="H163" t="s">
        <v>297</v>
      </c>
      <c r="J163" t="s">
        <v>71</v>
      </c>
      <c r="K163" t="s">
        <v>298</v>
      </c>
      <c r="L163" t="s">
        <v>64</v>
      </c>
      <c r="P163" t="s">
        <v>20</v>
      </c>
    </row>
    <row r="164" spans="1:16">
      <c r="A164">
        <v>163</v>
      </c>
      <c r="B164">
        <v>340</v>
      </c>
      <c r="C164" t="s">
        <v>299</v>
      </c>
      <c r="G164" t="s">
        <v>16</v>
      </c>
      <c r="H164" t="s">
        <v>289</v>
      </c>
      <c r="J164" t="s">
        <v>43</v>
      </c>
      <c r="K164" t="s">
        <v>300</v>
      </c>
      <c r="L164" t="s">
        <v>69</v>
      </c>
      <c r="P164" t="s">
        <v>20</v>
      </c>
    </row>
    <row r="165" spans="1:16">
      <c r="A165">
        <v>164</v>
      </c>
      <c r="B165">
        <v>350</v>
      </c>
      <c r="C165" t="s">
        <v>301</v>
      </c>
      <c r="G165" t="s">
        <v>85</v>
      </c>
      <c r="H165" t="s">
        <v>302</v>
      </c>
      <c r="J165" t="s">
        <v>151</v>
      </c>
      <c r="K165" t="s">
        <v>303</v>
      </c>
      <c r="L165" t="s">
        <v>258</v>
      </c>
      <c r="P165" t="s">
        <v>20</v>
      </c>
    </row>
    <row r="166" spans="1:16">
      <c r="A166">
        <v>165</v>
      </c>
      <c r="B166">
        <v>376</v>
      </c>
      <c r="C166" t="s">
        <v>319</v>
      </c>
      <c r="G166" t="s">
        <v>85</v>
      </c>
      <c r="H166" t="s">
        <v>136</v>
      </c>
      <c r="J166" t="s">
        <v>136</v>
      </c>
      <c r="L166" t="s">
        <v>22</v>
      </c>
      <c r="P166" t="s">
        <v>20</v>
      </c>
    </row>
    <row r="167" spans="1:16">
      <c r="A167">
        <v>166</v>
      </c>
      <c r="B167">
        <v>407</v>
      </c>
      <c r="C167" t="s">
        <v>334</v>
      </c>
      <c r="G167" t="s">
        <v>85</v>
      </c>
      <c r="H167" t="s">
        <v>208</v>
      </c>
      <c r="J167" t="s">
        <v>205</v>
      </c>
      <c r="K167" t="s">
        <v>335</v>
      </c>
      <c r="L167" t="s">
        <v>64</v>
      </c>
      <c r="P167" t="s">
        <v>20</v>
      </c>
    </row>
    <row r="168" spans="1:16">
      <c r="A168">
        <v>167</v>
      </c>
      <c r="B168">
        <v>427</v>
      </c>
      <c r="C168" t="s">
        <v>338</v>
      </c>
      <c r="G168" t="s">
        <v>16</v>
      </c>
      <c r="H168" t="s">
        <v>42</v>
      </c>
      <c r="J168" t="s">
        <v>43</v>
      </c>
      <c r="K168" t="s">
        <v>339</v>
      </c>
      <c r="L168" t="s">
        <v>137</v>
      </c>
      <c r="P168" t="s">
        <v>20</v>
      </c>
    </row>
    <row r="169" spans="1:16">
      <c r="A169">
        <v>168</v>
      </c>
      <c r="B169">
        <v>428</v>
      </c>
      <c r="C169" t="s">
        <v>340</v>
      </c>
      <c r="G169" t="s">
        <v>16</v>
      </c>
      <c r="H169" t="s">
        <v>308</v>
      </c>
      <c r="J169" t="s">
        <v>43</v>
      </c>
      <c r="K169" t="s">
        <v>341</v>
      </c>
      <c r="L169" t="s">
        <v>53</v>
      </c>
      <c r="P169" t="s">
        <v>20</v>
      </c>
    </row>
    <row r="170" spans="1:16">
      <c r="A170">
        <v>169</v>
      </c>
      <c r="B170">
        <v>436</v>
      </c>
      <c r="C170" t="s">
        <v>342</v>
      </c>
      <c r="G170" t="s">
        <v>16</v>
      </c>
      <c r="H170" t="s">
        <v>42</v>
      </c>
      <c r="J170" t="s">
        <v>28</v>
      </c>
      <c r="L170" t="s">
        <v>25</v>
      </c>
      <c r="P170" t="s">
        <v>20</v>
      </c>
    </row>
    <row r="171" spans="1:16">
      <c r="A171">
        <v>170</v>
      </c>
      <c r="B171">
        <v>452</v>
      </c>
      <c r="C171" t="s">
        <v>352</v>
      </c>
      <c r="G171" t="s">
        <v>60</v>
      </c>
      <c r="H171" t="s">
        <v>353</v>
      </c>
      <c r="J171" t="s">
        <v>247</v>
      </c>
      <c r="L171" t="s">
        <v>81</v>
      </c>
      <c r="P171" t="s">
        <v>20</v>
      </c>
    </row>
    <row r="172" spans="1:16">
      <c r="A172">
        <v>171</v>
      </c>
      <c r="B172">
        <v>464</v>
      </c>
      <c r="C172" t="s">
        <v>357</v>
      </c>
      <c r="G172" t="s">
        <v>16</v>
      </c>
      <c r="H172" t="s">
        <v>42</v>
      </c>
      <c r="J172" t="s">
        <v>43</v>
      </c>
      <c r="L172" t="s">
        <v>158</v>
      </c>
      <c r="P172" t="s">
        <v>20</v>
      </c>
    </row>
    <row r="173" spans="1:16">
      <c r="A173">
        <v>172</v>
      </c>
      <c r="B173">
        <v>484</v>
      </c>
      <c r="C173" t="s">
        <v>366</v>
      </c>
      <c r="G173" t="s">
        <v>365</v>
      </c>
      <c r="H173" t="s">
        <v>136</v>
      </c>
      <c r="J173" t="s">
        <v>136</v>
      </c>
      <c r="L173" t="s">
        <v>47</v>
      </c>
      <c r="P173" t="s">
        <v>20</v>
      </c>
    </row>
    <row r="174" spans="1:16">
      <c r="A174">
        <v>173</v>
      </c>
      <c r="B174">
        <v>487</v>
      </c>
      <c r="C174" t="s">
        <v>367</v>
      </c>
      <c r="G174" t="s">
        <v>250</v>
      </c>
      <c r="H174" t="s">
        <v>136</v>
      </c>
      <c r="J174" t="s">
        <v>136</v>
      </c>
      <c r="L174" t="s">
        <v>22</v>
      </c>
      <c r="P174" t="s">
        <v>20</v>
      </c>
    </row>
    <row r="175" spans="1:16">
      <c r="A175">
        <v>174</v>
      </c>
      <c r="B175">
        <v>561</v>
      </c>
      <c r="C175" t="s">
        <v>387</v>
      </c>
      <c r="G175" t="s">
        <v>60</v>
      </c>
      <c r="H175" t="s">
        <v>246</v>
      </c>
      <c r="J175" t="s">
        <v>247</v>
      </c>
      <c r="L175" t="s">
        <v>158</v>
      </c>
      <c r="P175" t="s">
        <v>20</v>
      </c>
    </row>
    <row r="176" spans="1:16">
      <c r="A176">
        <v>175</v>
      </c>
      <c r="B176">
        <v>618</v>
      </c>
      <c r="C176" t="s">
        <v>393</v>
      </c>
      <c r="G176" t="s">
        <v>60</v>
      </c>
      <c r="H176" t="s">
        <v>246</v>
      </c>
      <c r="J176" t="s">
        <v>247</v>
      </c>
      <c r="K176" t="s">
        <v>63</v>
      </c>
      <c r="L176" t="s">
        <v>81</v>
      </c>
      <c r="P176" t="s">
        <v>20</v>
      </c>
    </row>
    <row r="177" spans="1:17">
      <c r="A177">
        <v>176</v>
      </c>
      <c r="B177">
        <v>623</v>
      </c>
      <c r="C177" t="s">
        <v>397</v>
      </c>
      <c r="G177" t="s">
        <v>365</v>
      </c>
      <c r="H177" t="s">
        <v>136</v>
      </c>
      <c r="J177" t="s">
        <v>136</v>
      </c>
      <c r="L177" t="s">
        <v>158</v>
      </c>
      <c r="P177" t="s">
        <v>20</v>
      </c>
    </row>
    <row r="178" spans="1:17">
      <c r="A178">
        <v>177</v>
      </c>
      <c r="B178">
        <v>631</v>
      </c>
      <c r="C178" t="s">
        <v>398</v>
      </c>
      <c r="G178" t="s">
        <v>16</v>
      </c>
      <c r="H178" t="s">
        <v>399</v>
      </c>
      <c r="J178" t="s">
        <v>43</v>
      </c>
      <c r="L178" t="s">
        <v>40</v>
      </c>
      <c r="P178" t="s">
        <v>20</v>
      </c>
    </row>
    <row r="179" spans="1:17">
      <c r="A179">
        <v>178</v>
      </c>
      <c r="B179">
        <v>690</v>
      </c>
      <c r="C179" t="s">
        <v>405</v>
      </c>
      <c r="G179" t="s">
        <v>70</v>
      </c>
      <c r="H179" t="s">
        <v>42</v>
      </c>
      <c r="J179" t="s">
        <v>122</v>
      </c>
      <c r="K179" t="s">
        <v>406</v>
      </c>
      <c r="L179" t="s">
        <v>97</v>
      </c>
      <c r="O179" t="s">
        <v>407</v>
      </c>
      <c r="P179" t="s">
        <v>20</v>
      </c>
      <c r="Q179" t="s">
        <v>406</v>
      </c>
    </row>
    <row r="180" spans="1:17">
      <c r="A180">
        <v>179</v>
      </c>
      <c r="B180">
        <v>695</v>
      </c>
      <c r="C180" t="s">
        <v>408</v>
      </c>
      <c r="G180" t="s">
        <v>60</v>
      </c>
      <c r="H180" t="s">
        <v>246</v>
      </c>
      <c r="J180" t="s">
        <v>247</v>
      </c>
      <c r="K180" t="s">
        <v>409</v>
      </c>
      <c r="L180" t="s">
        <v>19</v>
      </c>
      <c r="P180" t="s">
        <v>20</v>
      </c>
    </row>
  </sheetData>
  <sortState xmlns:xlrd2="http://schemas.microsoft.com/office/spreadsheetml/2017/richdata2" ref="A2:Q182">
    <sortCondition ref="A1:A18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51E2D-2ACA-4B3C-92DA-E1D4DEA523E9}">
  <dimension ref="A1:G1295"/>
  <sheetViews>
    <sheetView tabSelected="1" topLeftCell="A563" workbookViewId="0">
      <selection activeCell="D574" sqref="D574"/>
    </sheetView>
  </sheetViews>
  <sheetFormatPr defaultColWidth="9" defaultRowHeight="12"/>
  <cols>
    <col min="1" max="1" width="11" style="5" bestFit="1" customWidth="1"/>
    <col min="2" max="2" width="13.81640625" style="5" bestFit="1" customWidth="1"/>
    <col min="3" max="3" width="11.1796875" style="14" bestFit="1" customWidth="1"/>
    <col min="4" max="4" width="31.26953125" style="5" customWidth="1"/>
    <col min="5" max="7" width="10.7265625" style="5" customWidth="1"/>
    <col min="8" max="16384" width="9" style="5"/>
  </cols>
  <sheetData>
    <row r="1" spans="1:7" ht="52" customHeight="1">
      <c r="A1" s="3" t="s">
        <v>2557</v>
      </c>
      <c r="B1" s="3" t="s">
        <v>442</v>
      </c>
      <c r="C1" s="3" t="s">
        <v>443</v>
      </c>
      <c r="D1" s="3" t="s">
        <v>2</v>
      </c>
      <c r="E1" s="4" t="s">
        <v>444</v>
      </c>
      <c r="F1" s="4" t="s">
        <v>445</v>
      </c>
      <c r="G1" s="3" t="s">
        <v>446</v>
      </c>
    </row>
    <row r="2" spans="1:7" ht="28" customHeight="1">
      <c r="A2" s="6">
        <v>1</v>
      </c>
      <c r="B2" s="6" t="s">
        <v>447</v>
      </c>
      <c r="C2" s="7" t="s">
        <v>448</v>
      </c>
      <c r="D2" s="6" t="s">
        <v>449</v>
      </c>
      <c r="E2" s="6" t="s">
        <v>450</v>
      </c>
      <c r="F2" s="6" t="s">
        <v>451</v>
      </c>
      <c r="G2" s="6" t="s">
        <v>452</v>
      </c>
    </row>
    <row r="3" spans="1:7" ht="28" customHeight="1">
      <c r="A3" s="8">
        <v>2</v>
      </c>
      <c r="B3" s="8" t="s">
        <v>447</v>
      </c>
      <c r="C3" s="9" t="s">
        <v>448</v>
      </c>
      <c r="D3" s="8" t="s">
        <v>453</v>
      </c>
      <c r="E3" s="8" t="s">
        <v>450</v>
      </c>
      <c r="F3" s="8" t="s">
        <v>451</v>
      </c>
      <c r="G3" s="8" t="s">
        <v>452</v>
      </c>
    </row>
    <row r="4" spans="1:7" ht="28" customHeight="1">
      <c r="A4" s="6">
        <v>3</v>
      </c>
      <c r="B4" s="6" t="s">
        <v>447</v>
      </c>
      <c r="C4" s="7" t="s">
        <v>448</v>
      </c>
      <c r="D4" s="8" t="s">
        <v>1539</v>
      </c>
      <c r="E4" s="6" t="s">
        <v>450</v>
      </c>
      <c r="F4" s="6" t="s">
        <v>451</v>
      </c>
      <c r="G4" s="6" t="s">
        <v>452</v>
      </c>
    </row>
    <row r="5" spans="1:7" ht="28" customHeight="1">
      <c r="A5" s="8">
        <v>4</v>
      </c>
      <c r="B5" s="8" t="s">
        <v>447</v>
      </c>
      <c r="C5" s="9" t="s">
        <v>448</v>
      </c>
      <c r="D5" s="8" t="s">
        <v>15</v>
      </c>
      <c r="E5" s="8" t="s">
        <v>454</v>
      </c>
      <c r="F5" s="8" t="s">
        <v>455</v>
      </c>
      <c r="G5" s="8" t="s">
        <v>452</v>
      </c>
    </row>
    <row r="6" spans="1:7" ht="28" customHeight="1">
      <c r="A6" s="6">
        <v>5</v>
      </c>
      <c r="B6" s="6" t="s">
        <v>447</v>
      </c>
      <c r="C6" s="7" t="s">
        <v>448</v>
      </c>
      <c r="D6" s="6" t="s">
        <v>21</v>
      </c>
      <c r="E6" s="6" t="s">
        <v>454</v>
      </c>
      <c r="F6" s="6" t="s">
        <v>455</v>
      </c>
      <c r="G6" s="6" t="s">
        <v>452</v>
      </c>
    </row>
    <row r="7" spans="1:7" ht="28" customHeight="1">
      <c r="A7" s="8">
        <v>6</v>
      </c>
      <c r="B7" s="8" t="s">
        <v>447</v>
      </c>
      <c r="C7" s="9" t="s">
        <v>448</v>
      </c>
      <c r="D7" s="8" t="s">
        <v>23</v>
      </c>
      <c r="E7" s="8" t="s">
        <v>454</v>
      </c>
      <c r="F7" s="8" t="s">
        <v>456</v>
      </c>
      <c r="G7" s="8" t="s">
        <v>452</v>
      </c>
    </row>
    <row r="8" spans="1:7" ht="28" customHeight="1">
      <c r="A8" s="6">
        <v>7</v>
      </c>
      <c r="B8" s="6" t="s">
        <v>447</v>
      </c>
      <c r="C8" s="7" t="s">
        <v>448</v>
      </c>
      <c r="D8" s="6" t="s">
        <v>26</v>
      </c>
      <c r="E8" s="6" t="s">
        <v>457</v>
      </c>
      <c r="F8" s="6" t="s">
        <v>455</v>
      </c>
      <c r="G8" s="6" t="s">
        <v>452</v>
      </c>
    </row>
    <row r="9" spans="1:7" ht="28" customHeight="1">
      <c r="A9" s="8">
        <v>8</v>
      </c>
      <c r="B9" s="8" t="s">
        <v>447</v>
      </c>
      <c r="C9" s="9" t="s">
        <v>448</v>
      </c>
      <c r="D9" s="8" t="s">
        <v>29</v>
      </c>
      <c r="E9" s="8" t="s">
        <v>457</v>
      </c>
      <c r="F9" s="8" t="s">
        <v>455</v>
      </c>
      <c r="G9" s="8" t="s">
        <v>452</v>
      </c>
    </row>
    <row r="10" spans="1:7" ht="28" customHeight="1">
      <c r="A10" s="6">
        <v>9</v>
      </c>
      <c r="B10" s="6" t="s">
        <v>447</v>
      </c>
      <c r="C10" s="7" t="s">
        <v>448</v>
      </c>
      <c r="D10" s="6" t="s">
        <v>458</v>
      </c>
      <c r="E10" s="6" t="s">
        <v>457</v>
      </c>
      <c r="F10" s="6" t="s">
        <v>455</v>
      </c>
      <c r="G10" s="6" t="s">
        <v>452</v>
      </c>
    </row>
    <row r="11" spans="1:7" ht="28" customHeight="1">
      <c r="A11" s="8">
        <v>10</v>
      </c>
      <c r="B11" s="8" t="s">
        <v>447</v>
      </c>
      <c r="C11" s="9" t="s">
        <v>448</v>
      </c>
      <c r="D11" s="8" t="s">
        <v>459</v>
      </c>
      <c r="E11" s="8" t="s">
        <v>460</v>
      </c>
      <c r="F11" s="8" t="s">
        <v>455</v>
      </c>
      <c r="G11" s="8" t="s">
        <v>452</v>
      </c>
    </row>
    <row r="12" spans="1:7" ht="28" customHeight="1">
      <c r="A12" s="6">
        <v>11</v>
      </c>
      <c r="B12" s="6" t="s">
        <v>447</v>
      </c>
      <c r="C12" s="7" t="s">
        <v>448</v>
      </c>
      <c r="D12" s="6" t="s">
        <v>461</v>
      </c>
      <c r="E12" s="6" t="s">
        <v>460</v>
      </c>
      <c r="F12" s="6" t="s">
        <v>455</v>
      </c>
      <c r="G12" s="6" t="s">
        <v>452</v>
      </c>
    </row>
    <row r="13" spans="1:7" ht="28" customHeight="1">
      <c r="A13" s="8">
        <v>12</v>
      </c>
      <c r="B13" s="8" t="s">
        <v>447</v>
      </c>
      <c r="C13" s="9" t="s">
        <v>448</v>
      </c>
      <c r="D13" s="6" t="s">
        <v>1549</v>
      </c>
      <c r="E13" s="8" t="s">
        <v>460</v>
      </c>
      <c r="F13" s="8" t="s">
        <v>456</v>
      </c>
      <c r="G13" s="8" t="s">
        <v>452</v>
      </c>
    </row>
    <row r="14" spans="1:7" ht="28" customHeight="1">
      <c r="A14" s="6">
        <v>13</v>
      </c>
      <c r="B14" s="6" t="s">
        <v>447</v>
      </c>
      <c r="C14" s="7" t="s">
        <v>448</v>
      </c>
      <c r="D14" s="6" t="s">
        <v>31</v>
      </c>
      <c r="E14" s="6" t="s">
        <v>460</v>
      </c>
      <c r="F14" s="6" t="s">
        <v>451</v>
      </c>
      <c r="G14" s="6" t="s">
        <v>452</v>
      </c>
    </row>
    <row r="15" spans="1:7" ht="28" customHeight="1">
      <c r="A15" s="8">
        <v>14</v>
      </c>
      <c r="B15" s="8" t="s">
        <v>447</v>
      </c>
      <c r="C15" s="9" t="s">
        <v>448</v>
      </c>
      <c r="D15" s="8" t="s">
        <v>35</v>
      </c>
      <c r="E15" s="8" t="s">
        <v>460</v>
      </c>
      <c r="F15" s="8" t="s">
        <v>451</v>
      </c>
      <c r="G15" s="8" t="s">
        <v>452</v>
      </c>
    </row>
    <row r="16" spans="1:7" ht="28" customHeight="1">
      <c r="A16" s="6">
        <v>15</v>
      </c>
      <c r="B16" s="6" t="s">
        <v>447</v>
      </c>
      <c r="C16" s="7" t="s">
        <v>448</v>
      </c>
      <c r="D16" s="6" t="s">
        <v>38</v>
      </c>
      <c r="E16" s="6" t="s">
        <v>460</v>
      </c>
      <c r="F16" s="6" t="s">
        <v>451</v>
      </c>
      <c r="G16" s="6" t="s">
        <v>452</v>
      </c>
    </row>
    <row r="17" spans="1:7" ht="28" customHeight="1">
      <c r="A17" s="8">
        <v>16</v>
      </c>
      <c r="B17" s="8" t="s">
        <v>447</v>
      </c>
      <c r="C17" s="9" t="s">
        <v>448</v>
      </c>
      <c r="D17" s="8" t="s">
        <v>41</v>
      </c>
      <c r="E17" s="8" t="s">
        <v>462</v>
      </c>
      <c r="F17" s="8" t="s">
        <v>456</v>
      </c>
      <c r="G17" s="8" t="s">
        <v>452</v>
      </c>
    </row>
    <row r="18" spans="1:7" ht="28" customHeight="1">
      <c r="A18" s="6">
        <v>17</v>
      </c>
      <c r="B18" s="6" t="s">
        <v>447</v>
      </c>
      <c r="C18" s="7" t="s">
        <v>448</v>
      </c>
      <c r="D18" s="6" t="s">
        <v>463</v>
      </c>
      <c r="E18" s="6" t="s">
        <v>462</v>
      </c>
      <c r="F18" s="6" t="s">
        <v>456</v>
      </c>
      <c r="G18" s="6" t="s">
        <v>452</v>
      </c>
    </row>
    <row r="19" spans="1:7" ht="28" customHeight="1">
      <c r="A19" s="8">
        <v>18</v>
      </c>
      <c r="B19" s="8" t="s">
        <v>447</v>
      </c>
      <c r="C19" s="9" t="s">
        <v>448</v>
      </c>
      <c r="D19" s="8" t="s">
        <v>44</v>
      </c>
      <c r="E19" s="8" t="s">
        <v>462</v>
      </c>
      <c r="F19" s="8" t="s">
        <v>456</v>
      </c>
      <c r="G19" s="8" t="s">
        <v>452</v>
      </c>
    </row>
    <row r="20" spans="1:7" ht="28" customHeight="1">
      <c r="A20" s="6">
        <v>19</v>
      </c>
      <c r="B20" s="6" t="s">
        <v>447</v>
      </c>
      <c r="C20" s="7" t="s">
        <v>448</v>
      </c>
      <c r="D20" s="6" t="s">
        <v>1557</v>
      </c>
      <c r="E20" s="6" t="s">
        <v>462</v>
      </c>
      <c r="F20" s="6" t="s">
        <v>455</v>
      </c>
      <c r="G20" s="6" t="s">
        <v>452</v>
      </c>
    </row>
    <row r="21" spans="1:7" ht="28" customHeight="1">
      <c r="A21" s="6">
        <v>19</v>
      </c>
      <c r="B21" s="6" t="s">
        <v>447</v>
      </c>
      <c r="C21" s="7" t="s">
        <v>448</v>
      </c>
      <c r="D21" s="6" t="s">
        <v>464</v>
      </c>
      <c r="E21" s="6" t="s">
        <v>465</v>
      </c>
      <c r="F21" s="6" t="s">
        <v>462</v>
      </c>
      <c r="G21" s="6" t="s">
        <v>452</v>
      </c>
    </row>
    <row r="22" spans="1:7" ht="28" customHeight="1">
      <c r="A22" s="6">
        <v>19</v>
      </c>
      <c r="B22" s="6" t="s">
        <v>447</v>
      </c>
      <c r="C22" s="7" t="s">
        <v>448</v>
      </c>
      <c r="D22" s="6" t="s">
        <v>1557</v>
      </c>
      <c r="E22" s="6" t="s">
        <v>462</v>
      </c>
      <c r="F22" s="6" t="s">
        <v>455</v>
      </c>
      <c r="G22" s="6" t="s">
        <v>452</v>
      </c>
    </row>
    <row r="23" spans="1:7" ht="28" customHeight="1">
      <c r="A23" s="8">
        <v>20</v>
      </c>
      <c r="B23" s="8" t="s">
        <v>447</v>
      </c>
      <c r="C23" s="9" t="s">
        <v>448</v>
      </c>
      <c r="D23" s="8" t="s">
        <v>1559</v>
      </c>
      <c r="E23" s="8" t="s">
        <v>462</v>
      </c>
      <c r="F23" s="8" t="s">
        <v>455</v>
      </c>
      <c r="G23" s="8" t="s">
        <v>452</v>
      </c>
    </row>
    <row r="24" spans="1:7" ht="28" customHeight="1">
      <c r="A24" s="8">
        <v>20</v>
      </c>
      <c r="B24" s="8" t="s">
        <v>447</v>
      </c>
      <c r="C24" s="9" t="s">
        <v>448</v>
      </c>
      <c r="D24" s="8" t="s">
        <v>466</v>
      </c>
      <c r="E24" s="8" t="s">
        <v>465</v>
      </c>
      <c r="F24" s="8" t="s">
        <v>462</v>
      </c>
      <c r="G24" s="8" t="s">
        <v>452</v>
      </c>
    </row>
    <row r="25" spans="1:7" ht="28" customHeight="1">
      <c r="A25" s="8">
        <v>20</v>
      </c>
      <c r="B25" s="8" t="s">
        <v>447</v>
      </c>
      <c r="C25" s="9" t="s">
        <v>448</v>
      </c>
      <c r="D25" s="8" t="s">
        <v>1559</v>
      </c>
      <c r="E25" s="8" t="s">
        <v>462</v>
      </c>
      <c r="F25" s="8" t="s">
        <v>455</v>
      </c>
      <c r="G25" s="8" t="s">
        <v>452</v>
      </c>
    </row>
    <row r="26" spans="1:7" ht="28" customHeight="1">
      <c r="A26" s="6">
        <v>21</v>
      </c>
      <c r="B26" s="6" t="s">
        <v>447</v>
      </c>
      <c r="C26" s="7" t="s">
        <v>448</v>
      </c>
      <c r="D26" s="6" t="s">
        <v>467</v>
      </c>
      <c r="E26" s="6" t="s">
        <v>462</v>
      </c>
      <c r="F26" s="6" t="s">
        <v>456</v>
      </c>
      <c r="G26" s="6" t="s">
        <v>452</v>
      </c>
    </row>
    <row r="27" spans="1:7" ht="28" customHeight="1">
      <c r="A27" s="8">
        <v>22</v>
      </c>
      <c r="B27" s="8" t="s">
        <v>447</v>
      </c>
      <c r="C27" s="9" t="s">
        <v>448</v>
      </c>
      <c r="D27" s="8" t="s">
        <v>468</v>
      </c>
      <c r="E27" s="8" t="s">
        <v>462</v>
      </c>
      <c r="F27" s="8" t="s">
        <v>456</v>
      </c>
      <c r="G27" s="8" t="s">
        <v>452</v>
      </c>
    </row>
    <row r="28" spans="1:7" ht="28" customHeight="1">
      <c r="A28" s="6">
        <v>23</v>
      </c>
      <c r="B28" s="6" t="s">
        <v>447</v>
      </c>
      <c r="C28" s="7" t="s">
        <v>448</v>
      </c>
      <c r="D28" s="6" t="s">
        <v>469</v>
      </c>
      <c r="E28" s="6" t="s">
        <v>451</v>
      </c>
      <c r="F28" s="6" t="s">
        <v>455</v>
      </c>
      <c r="G28" s="6" t="s">
        <v>452</v>
      </c>
    </row>
    <row r="29" spans="1:7" ht="28" customHeight="1">
      <c r="A29" s="8">
        <v>24</v>
      </c>
      <c r="B29" s="8" t="s">
        <v>447</v>
      </c>
      <c r="C29" s="9" t="s">
        <v>448</v>
      </c>
      <c r="D29" s="8" t="s">
        <v>470</v>
      </c>
      <c r="E29" s="8" t="s">
        <v>451</v>
      </c>
      <c r="F29" s="8" t="s">
        <v>455</v>
      </c>
      <c r="G29" s="8" t="s">
        <v>452</v>
      </c>
    </row>
    <row r="30" spans="1:7" ht="28" customHeight="1">
      <c r="A30" s="6">
        <v>25</v>
      </c>
      <c r="B30" s="6" t="s">
        <v>447</v>
      </c>
      <c r="C30" s="7" t="s">
        <v>448</v>
      </c>
      <c r="D30" s="6" t="s">
        <v>48</v>
      </c>
      <c r="E30" s="6" t="s">
        <v>471</v>
      </c>
      <c r="F30" s="6" t="s">
        <v>455</v>
      </c>
      <c r="G30" s="6" t="s">
        <v>452</v>
      </c>
    </row>
    <row r="31" spans="1:7" ht="28" customHeight="1">
      <c r="A31" s="6">
        <v>25</v>
      </c>
      <c r="B31" s="6" t="s">
        <v>447</v>
      </c>
      <c r="C31" s="7" t="s">
        <v>448</v>
      </c>
      <c r="D31" s="6" t="s">
        <v>472</v>
      </c>
      <c r="E31" s="6" t="s">
        <v>471</v>
      </c>
      <c r="F31" s="6" t="s">
        <v>455</v>
      </c>
      <c r="G31" s="6" t="s">
        <v>452</v>
      </c>
    </row>
    <row r="32" spans="1:7" ht="28" customHeight="1">
      <c r="A32" s="6">
        <v>25</v>
      </c>
      <c r="B32" s="6" t="s">
        <v>447</v>
      </c>
      <c r="C32" s="7" t="s">
        <v>448</v>
      </c>
      <c r="D32" s="6" t="s">
        <v>473</v>
      </c>
      <c r="E32" s="6" t="s">
        <v>471</v>
      </c>
      <c r="F32" s="6" t="s">
        <v>455</v>
      </c>
      <c r="G32" s="6" t="s">
        <v>452</v>
      </c>
    </row>
    <row r="33" spans="1:7" ht="28" customHeight="1">
      <c r="A33" s="6">
        <v>25</v>
      </c>
      <c r="B33" s="6" t="s">
        <v>447</v>
      </c>
      <c r="C33" s="7" t="s">
        <v>448</v>
      </c>
      <c r="D33" s="6" t="s">
        <v>474</v>
      </c>
      <c r="E33" s="6" t="s">
        <v>471</v>
      </c>
      <c r="F33" s="6" t="s">
        <v>455</v>
      </c>
      <c r="G33" s="6" t="s">
        <v>452</v>
      </c>
    </row>
    <row r="34" spans="1:7" ht="28" customHeight="1">
      <c r="A34" s="6">
        <v>25</v>
      </c>
      <c r="B34" s="6" t="s">
        <v>447</v>
      </c>
      <c r="C34" s="7" t="s">
        <v>448</v>
      </c>
      <c r="D34" s="6" t="s">
        <v>475</v>
      </c>
      <c r="E34" s="6" t="s">
        <v>471</v>
      </c>
      <c r="F34" s="6" t="s">
        <v>455</v>
      </c>
      <c r="G34" s="6" t="s">
        <v>452</v>
      </c>
    </row>
    <row r="35" spans="1:7" ht="28" customHeight="1">
      <c r="A35" s="6">
        <v>25</v>
      </c>
      <c r="B35" s="6" t="s">
        <v>447</v>
      </c>
      <c r="C35" s="7" t="s">
        <v>448</v>
      </c>
      <c r="D35" s="6" t="s">
        <v>476</v>
      </c>
      <c r="E35" s="6" t="s">
        <v>471</v>
      </c>
      <c r="F35" s="6" t="s">
        <v>455</v>
      </c>
      <c r="G35" s="6" t="s">
        <v>452</v>
      </c>
    </row>
    <row r="36" spans="1:7" ht="28" customHeight="1">
      <c r="A36" s="6">
        <v>25</v>
      </c>
      <c r="B36" s="6" t="s">
        <v>447</v>
      </c>
      <c r="C36" s="7" t="s">
        <v>448</v>
      </c>
      <c r="D36" s="6" t="s">
        <v>477</v>
      </c>
      <c r="E36" s="6" t="s">
        <v>471</v>
      </c>
      <c r="F36" s="6" t="s">
        <v>455</v>
      </c>
      <c r="G36" s="6" t="s">
        <v>452</v>
      </c>
    </row>
    <row r="37" spans="1:7" ht="28" customHeight="1">
      <c r="A37" s="6">
        <v>25</v>
      </c>
      <c r="B37" s="6" t="s">
        <v>447</v>
      </c>
      <c r="C37" s="7" t="s">
        <v>448</v>
      </c>
      <c r="D37" s="6" t="s">
        <v>478</v>
      </c>
      <c r="E37" s="6" t="s">
        <v>471</v>
      </c>
      <c r="F37" s="6" t="s">
        <v>455</v>
      </c>
      <c r="G37" s="6" t="s">
        <v>452</v>
      </c>
    </row>
    <row r="38" spans="1:7" ht="28" customHeight="1">
      <c r="A38" s="6">
        <v>25</v>
      </c>
      <c r="B38" s="6" t="s">
        <v>447</v>
      </c>
      <c r="C38" s="7" t="s">
        <v>448</v>
      </c>
      <c r="D38" s="6" t="s">
        <v>479</v>
      </c>
      <c r="E38" s="6" t="s">
        <v>471</v>
      </c>
      <c r="F38" s="6" t="s">
        <v>455</v>
      </c>
      <c r="G38" s="6" t="s">
        <v>452</v>
      </c>
    </row>
    <row r="39" spans="1:7" ht="28" customHeight="1">
      <c r="A39" s="6">
        <v>25</v>
      </c>
      <c r="B39" s="6" t="s">
        <v>447</v>
      </c>
      <c r="C39" s="7" t="s">
        <v>448</v>
      </c>
      <c r="D39" s="6" t="s">
        <v>48</v>
      </c>
      <c r="E39" s="6" t="s">
        <v>471</v>
      </c>
      <c r="F39" s="6" t="s">
        <v>455</v>
      </c>
      <c r="G39" s="6" t="s">
        <v>452</v>
      </c>
    </row>
    <row r="40" spans="1:7" ht="28" customHeight="1">
      <c r="A40" s="8">
        <v>26</v>
      </c>
      <c r="B40" s="8" t="s">
        <v>447</v>
      </c>
      <c r="C40" s="9" t="s">
        <v>448</v>
      </c>
      <c r="D40" s="8" t="s">
        <v>55</v>
      </c>
      <c r="E40" s="8" t="s">
        <v>471</v>
      </c>
      <c r="F40" s="8" t="s">
        <v>455</v>
      </c>
      <c r="G40" s="8" t="s">
        <v>452</v>
      </c>
    </row>
    <row r="41" spans="1:7" ht="28" customHeight="1">
      <c r="A41" s="8">
        <v>26</v>
      </c>
      <c r="B41" s="8" t="s">
        <v>447</v>
      </c>
      <c r="C41" s="9" t="s">
        <v>448</v>
      </c>
      <c r="D41" s="8" t="s">
        <v>480</v>
      </c>
      <c r="E41" s="8" t="s">
        <v>471</v>
      </c>
      <c r="F41" s="8" t="s">
        <v>481</v>
      </c>
      <c r="G41" s="8" t="s">
        <v>452</v>
      </c>
    </row>
    <row r="42" spans="1:7" ht="28" customHeight="1">
      <c r="A42" s="6">
        <v>27</v>
      </c>
      <c r="B42" s="6" t="s">
        <v>447</v>
      </c>
      <c r="C42" s="7" t="s">
        <v>448</v>
      </c>
      <c r="D42" s="6" t="s">
        <v>482</v>
      </c>
      <c r="E42" s="6" t="s">
        <v>483</v>
      </c>
      <c r="F42" s="6" t="s">
        <v>455</v>
      </c>
      <c r="G42" s="6" t="s">
        <v>452</v>
      </c>
    </row>
    <row r="43" spans="1:7" ht="28" customHeight="1">
      <c r="A43" s="6">
        <v>27</v>
      </c>
      <c r="B43" s="6" t="s">
        <v>447</v>
      </c>
      <c r="C43" s="7" t="s">
        <v>448</v>
      </c>
      <c r="D43" s="6" t="s">
        <v>484</v>
      </c>
      <c r="E43" s="6" t="s">
        <v>485</v>
      </c>
      <c r="F43" s="6" t="s">
        <v>486</v>
      </c>
      <c r="G43" s="6" t="s">
        <v>452</v>
      </c>
    </row>
    <row r="44" spans="1:7" ht="28" customHeight="1">
      <c r="A44" s="8">
        <v>28</v>
      </c>
      <c r="B44" s="8" t="s">
        <v>447</v>
      </c>
      <c r="C44" s="9" t="s">
        <v>448</v>
      </c>
      <c r="D44" s="8" t="s">
        <v>66</v>
      </c>
      <c r="E44" s="8" t="s">
        <v>483</v>
      </c>
      <c r="F44" s="8" t="s">
        <v>455</v>
      </c>
      <c r="G44" s="8" t="s">
        <v>452</v>
      </c>
    </row>
    <row r="45" spans="1:7" ht="28" customHeight="1">
      <c r="A45" s="8">
        <v>28</v>
      </c>
      <c r="B45" s="8" t="s">
        <v>447</v>
      </c>
      <c r="C45" s="9" t="s">
        <v>448</v>
      </c>
      <c r="D45" s="8" t="s">
        <v>487</v>
      </c>
      <c r="E45" s="8" t="s">
        <v>485</v>
      </c>
      <c r="F45" s="8" t="s">
        <v>486</v>
      </c>
      <c r="G45" s="8" t="s">
        <v>452</v>
      </c>
    </row>
    <row r="46" spans="1:7" ht="28" customHeight="1">
      <c r="A46" s="6">
        <v>29</v>
      </c>
      <c r="B46" s="6" t="s">
        <v>447</v>
      </c>
      <c r="C46" s="7" t="s">
        <v>448</v>
      </c>
      <c r="D46" s="6" t="s">
        <v>488</v>
      </c>
      <c r="E46" s="6" t="s">
        <v>451</v>
      </c>
      <c r="F46" s="6" t="s">
        <v>455</v>
      </c>
      <c r="G46" s="6" t="s">
        <v>452</v>
      </c>
    </row>
    <row r="47" spans="1:7" ht="28" customHeight="1">
      <c r="A47" s="8">
        <v>30</v>
      </c>
      <c r="B47" s="8" t="s">
        <v>447</v>
      </c>
      <c r="C47" s="9" t="s">
        <v>448</v>
      </c>
      <c r="D47" s="8" t="s">
        <v>489</v>
      </c>
      <c r="E47" s="8" t="s">
        <v>451</v>
      </c>
      <c r="F47" s="8" t="s">
        <v>455</v>
      </c>
      <c r="G47" s="8" t="s">
        <v>452</v>
      </c>
    </row>
    <row r="48" spans="1:7" ht="28" customHeight="1">
      <c r="A48" s="6">
        <v>31</v>
      </c>
      <c r="B48" s="6" t="s">
        <v>447</v>
      </c>
      <c r="C48" s="7" t="s">
        <v>448</v>
      </c>
      <c r="D48" s="6" t="s">
        <v>490</v>
      </c>
      <c r="E48" s="6" t="s">
        <v>451</v>
      </c>
      <c r="F48" s="6" t="s">
        <v>483</v>
      </c>
      <c r="G48" s="6" t="s">
        <v>452</v>
      </c>
    </row>
    <row r="49" spans="1:7" ht="28" customHeight="1">
      <c r="A49" s="8">
        <v>32</v>
      </c>
      <c r="B49" s="8" t="s">
        <v>447</v>
      </c>
      <c r="C49" s="9" t="s">
        <v>448</v>
      </c>
      <c r="D49" s="8" t="s">
        <v>491</v>
      </c>
      <c r="E49" s="8" t="s">
        <v>451</v>
      </c>
      <c r="F49" s="8" t="s">
        <v>455</v>
      </c>
      <c r="G49" s="8" t="s">
        <v>452</v>
      </c>
    </row>
    <row r="50" spans="1:7" ht="28" customHeight="1">
      <c r="A50" s="6">
        <v>33</v>
      </c>
      <c r="B50" s="6" t="s">
        <v>447</v>
      </c>
      <c r="C50" s="7" t="s">
        <v>448</v>
      </c>
      <c r="D50" s="6" t="s">
        <v>492</v>
      </c>
      <c r="E50" s="6" t="s">
        <v>451</v>
      </c>
      <c r="F50" s="6" t="s">
        <v>455</v>
      </c>
      <c r="G50" s="6" t="s">
        <v>452</v>
      </c>
    </row>
    <row r="51" spans="1:7" ht="28" customHeight="1">
      <c r="A51" s="8">
        <v>34</v>
      </c>
      <c r="B51" s="8" t="s">
        <v>447</v>
      </c>
      <c r="C51" s="9" t="s">
        <v>448</v>
      </c>
      <c r="D51" s="8" t="s">
        <v>493</v>
      </c>
      <c r="E51" s="8" t="s">
        <v>451</v>
      </c>
      <c r="F51" s="8" t="s">
        <v>483</v>
      </c>
      <c r="G51" s="8" t="s">
        <v>452</v>
      </c>
    </row>
    <row r="52" spans="1:7" ht="28" customHeight="1">
      <c r="A52" s="6">
        <v>35</v>
      </c>
      <c r="B52" s="6" t="s">
        <v>447</v>
      </c>
      <c r="C52" s="7" t="s">
        <v>448</v>
      </c>
      <c r="D52" s="6" t="s">
        <v>74</v>
      </c>
      <c r="E52" s="6" t="s">
        <v>494</v>
      </c>
      <c r="F52" s="6" t="s">
        <v>455</v>
      </c>
      <c r="G52" s="6" t="s">
        <v>452</v>
      </c>
    </row>
    <row r="53" spans="1:7" ht="28" customHeight="1">
      <c r="A53" s="8">
        <v>36</v>
      </c>
      <c r="B53" s="8" t="s">
        <v>447</v>
      </c>
      <c r="C53" s="9" t="s">
        <v>448</v>
      </c>
      <c r="D53" s="8" t="s">
        <v>495</v>
      </c>
      <c r="E53" s="8" t="s">
        <v>494</v>
      </c>
      <c r="F53" s="8" t="s">
        <v>455</v>
      </c>
      <c r="G53" s="8" t="s">
        <v>452</v>
      </c>
    </row>
    <row r="54" spans="1:7" ht="28" customHeight="1">
      <c r="A54" s="6">
        <v>37</v>
      </c>
      <c r="B54" s="6" t="s">
        <v>447</v>
      </c>
      <c r="C54" s="7" t="s">
        <v>448</v>
      </c>
      <c r="D54" s="6" t="s">
        <v>496</v>
      </c>
      <c r="E54" s="6" t="s">
        <v>454</v>
      </c>
      <c r="F54" s="6" t="s">
        <v>455</v>
      </c>
      <c r="G54" s="6" t="s">
        <v>452</v>
      </c>
    </row>
    <row r="55" spans="1:7" ht="28" customHeight="1">
      <c r="A55" s="6">
        <v>37</v>
      </c>
      <c r="B55" s="6" t="s">
        <v>447</v>
      </c>
      <c r="C55" s="7" t="s">
        <v>448</v>
      </c>
      <c r="D55" s="6" t="s">
        <v>497</v>
      </c>
      <c r="E55" s="6" t="s">
        <v>485</v>
      </c>
      <c r="F55" s="6" t="s">
        <v>455</v>
      </c>
      <c r="G55" s="6" t="s">
        <v>452</v>
      </c>
    </row>
    <row r="56" spans="1:7" ht="28" customHeight="1">
      <c r="A56" s="8">
        <v>38</v>
      </c>
      <c r="B56" s="8" t="s">
        <v>447</v>
      </c>
      <c r="C56" s="9" t="s">
        <v>448</v>
      </c>
      <c r="D56" s="8" t="s">
        <v>76</v>
      </c>
      <c r="E56" s="8" t="s">
        <v>454</v>
      </c>
      <c r="F56" s="8" t="s">
        <v>455</v>
      </c>
      <c r="G56" s="8" t="s">
        <v>452</v>
      </c>
    </row>
    <row r="57" spans="1:7" ht="28" customHeight="1">
      <c r="A57" s="8">
        <v>38</v>
      </c>
      <c r="B57" s="8" t="s">
        <v>447</v>
      </c>
      <c r="C57" s="9" t="s">
        <v>448</v>
      </c>
      <c r="D57" s="8" t="s">
        <v>498</v>
      </c>
      <c r="E57" s="8" t="s">
        <v>485</v>
      </c>
      <c r="F57" s="8" t="s">
        <v>494</v>
      </c>
      <c r="G57" s="8" t="s">
        <v>452</v>
      </c>
    </row>
    <row r="58" spans="1:7" ht="28" customHeight="1">
      <c r="A58" s="6">
        <v>39</v>
      </c>
      <c r="B58" s="6" t="s">
        <v>447</v>
      </c>
      <c r="C58" s="7" t="s">
        <v>448</v>
      </c>
      <c r="D58" s="6" t="s">
        <v>499</v>
      </c>
      <c r="E58" s="6" t="s">
        <v>462</v>
      </c>
      <c r="F58" s="6" t="s">
        <v>494</v>
      </c>
      <c r="G58" s="6" t="s">
        <v>452</v>
      </c>
    </row>
    <row r="59" spans="1:7" ht="28" customHeight="1">
      <c r="A59" s="8">
        <v>40</v>
      </c>
      <c r="B59" s="8" t="s">
        <v>447</v>
      </c>
      <c r="C59" s="9" t="s">
        <v>448</v>
      </c>
      <c r="D59" s="8" t="s">
        <v>500</v>
      </c>
      <c r="E59" s="8" t="s">
        <v>462</v>
      </c>
      <c r="F59" s="8" t="s">
        <v>494</v>
      </c>
      <c r="G59" s="8" t="s">
        <v>452</v>
      </c>
    </row>
    <row r="60" spans="1:7" ht="28" customHeight="1">
      <c r="A60" s="6">
        <v>41</v>
      </c>
      <c r="B60" s="6" t="s">
        <v>447</v>
      </c>
      <c r="C60" s="7" t="s">
        <v>448</v>
      </c>
      <c r="D60" s="6" t="s">
        <v>1583</v>
      </c>
      <c r="E60" s="6" t="s">
        <v>451</v>
      </c>
      <c r="F60" s="6" t="s">
        <v>456</v>
      </c>
      <c r="G60" s="6" t="s">
        <v>452</v>
      </c>
    </row>
    <row r="61" spans="1:7" ht="28" customHeight="1">
      <c r="A61" s="8">
        <v>42</v>
      </c>
      <c r="B61" s="8" t="s">
        <v>447</v>
      </c>
      <c r="C61" s="9" t="s">
        <v>448</v>
      </c>
      <c r="D61" s="8" t="s">
        <v>82</v>
      </c>
      <c r="E61" s="8" t="s">
        <v>451</v>
      </c>
      <c r="F61" s="8" t="s">
        <v>456</v>
      </c>
      <c r="G61" s="8" t="s">
        <v>452</v>
      </c>
    </row>
    <row r="62" spans="1:7" ht="28" customHeight="1">
      <c r="A62" s="6">
        <v>43</v>
      </c>
      <c r="B62" s="6" t="s">
        <v>447</v>
      </c>
      <c r="C62" s="7" t="s">
        <v>448</v>
      </c>
      <c r="D62" s="6" t="s">
        <v>84</v>
      </c>
      <c r="E62" s="6" t="s">
        <v>450</v>
      </c>
      <c r="F62" s="6" t="s">
        <v>451</v>
      </c>
      <c r="G62" s="6" t="s">
        <v>452</v>
      </c>
    </row>
    <row r="63" spans="1:7" ht="28" customHeight="1">
      <c r="A63" s="8">
        <v>44</v>
      </c>
      <c r="B63" s="8" t="s">
        <v>447</v>
      </c>
      <c r="C63" s="9" t="s">
        <v>448</v>
      </c>
      <c r="D63" s="6" t="s">
        <v>1587</v>
      </c>
      <c r="E63" s="8" t="s">
        <v>450</v>
      </c>
      <c r="F63" s="8" t="s">
        <v>451</v>
      </c>
      <c r="G63" s="8" t="s">
        <v>452</v>
      </c>
    </row>
    <row r="64" spans="1:7" ht="28" customHeight="1">
      <c r="A64" s="6">
        <v>45</v>
      </c>
      <c r="B64" s="6" t="s">
        <v>447</v>
      </c>
      <c r="C64" s="7" t="s">
        <v>448</v>
      </c>
      <c r="D64" s="8" t="s">
        <v>1589</v>
      </c>
      <c r="E64" s="6" t="s">
        <v>450</v>
      </c>
      <c r="F64" s="6" t="s">
        <v>451</v>
      </c>
      <c r="G64" s="6" t="s">
        <v>452</v>
      </c>
    </row>
    <row r="65" spans="1:7" ht="28" customHeight="1">
      <c r="A65" s="8">
        <v>46</v>
      </c>
      <c r="B65" s="8" t="s">
        <v>447</v>
      </c>
      <c r="C65" s="9" t="s">
        <v>448</v>
      </c>
      <c r="D65" s="8" t="s">
        <v>501</v>
      </c>
      <c r="E65" s="8" t="s">
        <v>460</v>
      </c>
      <c r="F65" s="8" t="s">
        <v>450</v>
      </c>
      <c r="G65" s="8" t="s">
        <v>452</v>
      </c>
    </row>
    <row r="66" spans="1:7" ht="28" customHeight="1">
      <c r="A66" s="6">
        <v>47</v>
      </c>
      <c r="B66" s="6" t="s">
        <v>447</v>
      </c>
      <c r="C66" s="7" t="s">
        <v>448</v>
      </c>
      <c r="D66" s="6" t="s">
        <v>502</v>
      </c>
      <c r="E66" s="6" t="s">
        <v>460</v>
      </c>
      <c r="F66" s="6" t="s">
        <v>450</v>
      </c>
      <c r="G66" s="6" t="s">
        <v>452</v>
      </c>
    </row>
    <row r="67" spans="1:7" ht="28" customHeight="1">
      <c r="A67" s="8">
        <v>48</v>
      </c>
      <c r="B67" s="8" t="s">
        <v>447</v>
      </c>
      <c r="C67" s="9" t="s">
        <v>448</v>
      </c>
      <c r="D67" s="8" t="s">
        <v>503</v>
      </c>
      <c r="E67" s="8" t="s">
        <v>460</v>
      </c>
      <c r="F67" s="8" t="s">
        <v>451</v>
      </c>
      <c r="G67" s="8" t="s">
        <v>452</v>
      </c>
    </row>
    <row r="68" spans="1:7" ht="28" customHeight="1">
      <c r="A68" s="6">
        <v>49</v>
      </c>
      <c r="B68" s="6" t="s">
        <v>447</v>
      </c>
      <c r="C68" s="7" t="s">
        <v>448</v>
      </c>
      <c r="D68" s="6" t="s">
        <v>504</v>
      </c>
      <c r="E68" s="6" t="s">
        <v>460</v>
      </c>
      <c r="F68" s="6" t="s">
        <v>451</v>
      </c>
      <c r="G68" s="6" t="s">
        <v>452</v>
      </c>
    </row>
    <row r="69" spans="1:7" ht="28" customHeight="1">
      <c r="A69" s="8">
        <v>50</v>
      </c>
      <c r="B69" s="8" t="s">
        <v>447</v>
      </c>
      <c r="C69" s="9" t="s">
        <v>448</v>
      </c>
      <c r="D69" s="8" t="s">
        <v>505</v>
      </c>
      <c r="E69" s="8" t="s">
        <v>483</v>
      </c>
      <c r="F69" s="8" t="s">
        <v>455</v>
      </c>
      <c r="G69" s="8" t="s">
        <v>452</v>
      </c>
    </row>
    <row r="70" spans="1:7" ht="28" customHeight="1">
      <c r="A70" s="8">
        <v>50</v>
      </c>
      <c r="B70" s="8" t="s">
        <v>447</v>
      </c>
      <c r="C70" s="9" t="s">
        <v>448</v>
      </c>
      <c r="D70" s="8" t="s">
        <v>506</v>
      </c>
      <c r="E70" s="8" t="s">
        <v>483</v>
      </c>
      <c r="F70" s="8" t="s">
        <v>486</v>
      </c>
      <c r="G70" s="8" t="s">
        <v>452</v>
      </c>
    </row>
    <row r="71" spans="1:7" ht="28" customHeight="1">
      <c r="A71" s="6">
        <v>51</v>
      </c>
      <c r="B71" s="6" t="s">
        <v>447</v>
      </c>
      <c r="C71" s="7" t="s">
        <v>448</v>
      </c>
      <c r="D71" s="6" t="s">
        <v>507</v>
      </c>
      <c r="E71" s="6" t="s">
        <v>483</v>
      </c>
      <c r="F71" s="6" t="s">
        <v>455</v>
      </c>
      <c r="G71" s="6" t="s">
        <v>452</v>
      </c>
    </row>
    <row r="72" spans="1:7" ht="28" customHeight="1">
      <c r="A72" s="6">
        <v>51</v>
      </c>
      <c r="B72" s="6" t="s">
        <v>447</v>
      </c>
      <c r="C72" s="7" t="s">
        <v>448</v>
      </c>
      <c r="D72" s="6" t="s">
        <v>508</v>
      </c>
      <c r="E72" s="6" t="s">
        <v>483</v>
      </c>
      <c r="F72" s="6" t="s">
        <v>486</v>
      </c>
      <c r="G72" s="6" t="s">
        <v>452</v>
      </c>
    </row>
    <row r="73" spans="1:7" ht="28" customHeight="1">
      <c r="A73" s="8">
        <v>52</v>
      </c>
      <c r="B73" s="8" t="s">
        <v>447</v>
      </c>
      <c r="C73" s="9" t="s">
        <v>448</v>
      </c>
      <c r="D73" s="8" t="s">
        <v>88</v>
      </c>
      <c r="E73" s="8" t="s">
        <v>462</v>
      </c>
      <c r="F73" s="8" t="s">
        <v>455</v>
      </c>
      <c r="G73" s="8" t="s">
        <v>452</v>
      </c>
    </row>
    <row r="74" spans="1:7" ht="28" customHeight="1">
      <c r="A74" s="8">
        <v>52</v>
      </c>
      <c r="B74" s="8" t="s">
        <v>447</v>
      </c>
      <c r="C74" s="9" t="s">
        <v>448</v>
      </c>
      <c r="D74" s="8" t="s">
        <v>509</v>
      </c>
      <c r="E74" s="8" t="s">
        <v>465</v>
      </c>
      <c r="F74" s="8" t="s">
        <v>455</v>
      </c>
      <c r="G74" s="8" t="s">
        <v>452</v>
      </c>
    </row>
    <row r="75" spans="1:7" ht="28" customHeight="1">
      <c r="A75" s="8">
        <v>52</v>
      </c>
      <c r="B75" s="8" t="s">
        <v>447</v>
      </c>
      <c r="C75" s="9" t="s">
        <v>448</v>
      </c>
      <c r="D75" s="8" t="s">
        <v>510</v>
      </c>
      <c r="E75" s="8" t="s">
        <v>486</v>
      </c>
      <c r="F75" s="8" t="s">
        <v>455</v>
      </c>
      <c r="G75" s="8" t="s">
        <v>452</v>
      </c>
    </row>
    <row r="76" spans="1:7" ht="28" customHeight="1">
      <c r="A76" s="6">
        <v>53</v>
      </c>
      <c r="B76" s="6" t="s">
        <v>447</v>
      </c>
      <c r="C76" s="7" t="s">
        <v>448</v>
      </c>
      <c r="D76" s="6" t="s">
        <v>511</v>
      </c>
      <c r="E76" s="6" t="s">
        <v>462</v>
      </c>
      <c r="F76" s="6" t="s">
        <v>455</v>
      </c>
      <c r="G76" s="6" t="s">
        <v>452</v>
      </c>
    </row>
    <row r="77" spans="1:7" ht="28" customHeight="1">
      <c r="A77" s="6">
        <v>53</v>
      </c>
      <c r="B77" s="6" t="s">
        <v>447</v>
      </c>
      <c r="C77" s="7" t="s">
        <v>448</v>
      </c>
      <c r="D77" s="6" t="s">
        <v>512</v>
      </c>
      <c r="E77" s="6" t="s">
        <v>465</v>
      </c>
      <c r="F77" s="6" t="s">
        <v>455</v>
      </c>
      <c r="G77" s="6" t="s">
        <v>452</v>
      </c>
    </row>
    <row r="78" spans="1:7" ht="28" customHeight="1">
      <c r="A78" s="8">
        <v>54</v>
      </c>
      <c r="B78" s="8" t="s">
        <v>447</v>
      </c>
      <c r="C78" s="9" t="s">
        <v>448</v>
      </c>
      <c r="D78" s="8" t="s">
        <v>513</v>
      </c>
      <c r="E78" s="8" t="s">
        <v>457</v>
      </c>
      <c r="F78" s="8" t="s">
        <v>455</v>
      </c>
      <c r="G78" s="8" t="s">
        <v>452</v>
      </c>
    </row>
    <row r="79" spans="1:7" ht="28" customHeight="1">
      <c r="A79" s="6">
        <v>55</v>
      </c>
      <c r="B79" s="6" t="s">
        <v>447</v>
      </c>
      <c r="C79" s="7" t="s">
        <v>448</v>
      </c>
      <c r="D79" s="6" t="s">
        <v>514</v>
      </c>
      <c r="E79" s="6" t="s">
        <v>457</v>
      </c>
      <c r="F79" s="6" t="s">
        <v>455</v>
      </c>
      <c r="G79" s="6" t="s">
        <v>452</v>
      </c>
    </row>
    <row r="80" spans="1:7" ht="28" customHeight="1">
      <c r="A80" s="8">
        <v>56</v>
      </c>
      <c r="B80" s="8" t="s">
        <v>447</v>
      </c>
      <c r="C80" s="9" t="s">
        <v>448</v>
      </c>
      <c r="D80" s="8" t="s">
        <v>95</v>
      </c>
      <c r="E80" s="8" t="s">
        <v>515</v>
      </c>
      <c r="F80" s="8" t="s">
        <v>455</v>
      </c>
      <c r="G80" s="8" t="s">
        <v>452</v>
      </c>
    </row>
    <row r="81" spans="1:7" ht="28" customHeight="1">
      <c r="A81" s="6">
        <v>57</v>
      </c>
      <c r="B81" s="6" t="s">
        <v>447</v>
      </c>
      <c r="C81" s="7" t="s">
        <v>448</v>
      </c>
      <c r="D81" s="6" t="s">
        <v>516</v>
      </c>
      <c r="E81" s="6" t="s">
        <v>515</v>
      </c>
      <c r="F81" s="6" t="s">
        <v>455</v>
      </c>
      <c r="G81" s="6" t="s">
        <v>452</v>
      </c>
    </row>
    <row r="82" spans="1:7" ht="28" customHeight="1">
      <c r="A82" s="8">
        <v>58</v>
      </c>
      <c r="B82" s="8" t="s">
        <v>447</v>
      </c>
      <c r="C82" s="9" t="s">
        <v>448</v>
      </c>
      <c r="D82" s="8" t="s">
        <v>517</v>
      </c>
      <c r="E82" s="8" t="s">
        <v>454</v>
      </c>
      <c r="F82" s="8" t="s">
        <v>455</v>
      </c>
      <c r="G82" s="8" t="s">
        <v>452</v>
      </c>
    </row>
    <row r="83" spans="1:7" ht="28" customHeight="1">
      <c r="A83" s="8">
        <v>58</v>
      </c>
      <c r="B83" s="8" t="s">
        <v>447</v>
      </c>
      <c r="C83" s="9" t="s">
        <v>448</v>
      </c>
      <c r="D83" s="8" t="s">
        <v>518</v>
      </c>
      <c r="E83" s="8" t="s">
        <v>454</v>
      </c>
      <c r="F83" s="8" t="s">
        <v>519</v>
      </c>
      <c r="G83" s="8" t="s">
        <v>452</v>
      </c>
    </row>
    <row r="84" spans="1:7" ht="28" customHeight="1">
      <c r="A84" s="6">
        <v>59</v>
      </c>
      <c r="B84" s="6" t="s">
        <v>447</v>
      </c>
      <c r="C84" s="7" t="s">
        <v>448</v>
      </c>
      <c r="D84" s="6" t="s">
        <v>520</v>
      </c>
      <c r="E84" s="6" t="s">
        <v>454</v>
      </c>
      <c r="F84" s="6" t="s">
        <v>455</v>
      </c>
      <c r="G84" s="6" t="s">
        <v>452</v>
      </c>
    </row>
    <row r="85" spans="1:7" ht="28" customHeight="1">
      <c r="A85" s="6">
        <v>59</v>
      </c>
      <c r="B85" s="6" t="s">
        <v>447</v>
      </c>
      <c r="C85" s="7" t="s">
        <v>448</v>
      </c>
      <c r="D85" s="6" t="s">
        <v>521</v>
      </c>
      <c r="E85" s="6" t="s">
        <v>454</v>
      </c>
      <c r="F85" s="6" t="s">
        <v>519</v>
      </c>
      <c r="G85" s="6" t="s">
        <v>452</v>
      </c>
    </row>
    <row r="86" spans="1:7" ht="28" customHeight="1">
      <c r="A86" s="8">
        <v>60</v>
      </c>
      <c r="B86" s="8" t="s">
        <v>447</v>
      </c>
      <c r="C86" s="9" t="s">
        <v>448</v>
      </c>
      <c r="D86" s="8" t="s">
        <v>522</v>
      </c>
      <c r="E86" s="8" t="s">
        <v>457</v>
      </c>
      <c r="F86" s="8" t="s">
        <v>455</v>
      </c>
      <c r="G86" s="8" t="s">
        <v>452</v>
      </c>
    </row>
    <row r="87" spans="1:7" ht="28" customHeight="1">
      <c r="A87" s="6">
        <v>61</v>
      </c>
      <c r="B87" s="6" t="s">
        <v>447</v>
      </c>
      <c r="C87" s="7" t="s">
        <v>448</v>
      </c>
      <c r="D87" s="6" t="s">
        <v>523</v>
      </c>
      <c r="E87" s="6" t="s">
        <v>457</v>
      </c>
      <c r="F87" s="6" t="s">
        <v>455</v>
      </c>
      <c r="G87" s="6" t="s">
        <v>452</v>
      </c>
    </row>
    <row r="88" spans="1:7" ht="28" customHeight="1">
      <c r="A88" s="8">
        <v>62</v>
      </c>
      <c r="B88" s="8" t="s">
        <v>447</v>
      </c>
      <c r="C88" s="9" t="s">
        <v>448</v>
      </c>
      <c r="D88" s="8" t="s">
        <v>524</v>
      </c>
      <c r="E88" s="8" t="s">
        <v>457</v>
      </c>
      <c r="F88" s="8" t="s">
        <v>515</v>
      </c>
      <c r="G88" s="8" t="s">
        <v>452</v>
      </c>
    </row>
    <row r="89" spans="1:7" ht="28" customHeight="1">
      <c r="A89" s="6">
        <v>63</v>
      </c>
      <c r="B89" s="6" t="s">
        <v>447</v>
      </c>
      <c r="C89" s="7" t="s">
        <v>448</v>
      </c>
      <c r="D89" s="6" t="s">
        <v>525</v>
      </c>
      <c r="E89" s="6" t="s">
        <v>481</v>
      </c>
      <c r="F89" s="6" t="s">
        <v>455</v>
      </c>
      <c r="G89" s="6" t="s">
        <v>452</v>
      </c>
    </row>
    <row r="90" spans="1:7" ht="28" customHeight="1">
      <c r="A90" s="8">
        <v>64</v>
      </c>
      <c r="B90" s="8" t="s">
        <v>447</v>
      </c>
      <c r="C90" s="9" t="s">
        <v>448</v>
      </c>
      <c r="D90" s="8" t="s">
        <v>1610</v>
      </c>
      <c r="E90" s="8" t="s">
        <v>481</v>
      </c>
      <c r="F90" s="8" t="s">
        <v>455</v>
      </c>
      <c r="G90" s="8" t="s">
        <v>452</v>
      </c>
    </row>
    <row r="91" spans="1:7" ht="28" customHeight="1">
      <c r="A91" s="6">
        <v>65</v>
      </c>
      <c r="B91" s="6" t="s">
        <v>447</v>
      </c>
      <c r="C91" s="7" t="s">
        <v>448</v>
      </c>
      <c r="D91" s="6" t="s">
        <v>1612</v>
      </c>
      <c r="E91" s="6" t="s">
        <v>481</v>
      </c>
      <c r="F91" s="6" t="s">
        <v>455</v>
      </c>
      <c r="G91" s="6" t="s">
        <v>452</v>
      </c>
    </row>
    <row r="92" spans="1:7" ht="28" customHeight="1">
      <c r="A92" s="8">
        <v>66</v>
      </c>
      <c r="B92" s="8" t="s">
        <v>447</v>
      </c>
      <c r="C92" s="9" t="s">
        <v>448</v>
      </c>
      <c r="D92" s="8" t="s">
        <v>98</v>
      </c>
      <c r="E92" s="8" t="s">
        <v>515</v>
      </c>
      <c r="F92" s="8" t="s">
        <v>455</v>
      </c>
      <c r="G92" s="8" t="s">
        <v>452</v>
      </c>
    </row>
    <row r="93" spans="1:7" ht="28" customHeight="1">
      <c r="A93" s="6">
        <v>67</v>
      </c>
      <c r="B93" s="6" t="s">
        <v>447</v>
      </c>
      <c r="C93" s="7" t="s">
        <v>448</v>
      </c>
      <c r="D93" s="6" t="s">
        <v>100</v>
      </c>
      <c r="E93" s="6" t="s">
        <v>515</v>
      </c>
      <c r="F93" s="6" t="s">
        <v>455</v>
      </c>
      <c r="G93" s="6" t="s">
        <v>452</v>
      </c>
    </row>
    <row r="94" spans="1:7" ht="28" customHeight="1">
      <c r="A94" s="8">
        <v>68</v>
      </c>
      <c r="B94" s="8" t="s">
        <v>447</v>
      </c>
      <c r="C94" s="9" t="s">
        <v>448</v>
      </c>
      <c r="D94" s="8" t="s">
        <v>102</v>
      </c>
      <c r="E94" s="8" t="s">
        <v>515</v>
      </c>
      <c r="F94" s="8" t="s">
        <v>455</v>
      </c>
      <c r="G94" s="8" t="s">
        <v>452</v>
      </c>
    </row>
    <row r="95" spans="1:7" ht="28" customHeight="1">
      <c r="A95" s="6">
        <v>69</v>
      </c>
      <c r="B95" s="6" t="s">
        <v>447</v>
      </c>
      <c r="C95" s="7" t="s">
        <v>448</v>
      </c>
      <c r="D95" s="6" t="s">
        <v>107</v>
      </c>
      <c r="E95" s="6" t="s">
        <v>450</v>
      </c>
      <c r="F95" s="6" t="s">
        <v>451</v>
      </c>
      <c r="G95" s="6" t="s">
        <v>452</v>
      </c>
    </row>
    <row r="96" spans="1:7" ht="28" customHeight="1">
      <c r="A96" s="8">
        <v>70</v>
      </c>
      <c r="B96" s="8" t="s">
        <v>447</v>
      </c>
      <c r="C96" s="9" t="s">
        <v>448</v>
      </c>
      <c r="D96" s="8" t="s">
        <v>526</v>
      </c>
      <c r="E96" s="8" t="s">
        <v>450</v>
      </c>
      <c r="F96" s="8" t="s">
        <v>451</v>
      </c>
      <c r="G96" s="8" t="s">
        <v>452</v>
      </c>
    </row>
    <row r="97" spans="1:7" ht="28" customHeight="1">
      <c r="A97" s="6">
        <v>71</v>
      </c>
      <c r="B97" s="6" t="s">
        <v>447</v>
      </c>
      <c r="C97" s="7" t="s">
        <v>448</v>
      </c>
      <c r="D97" s="6" t="s">
        <v>109</v>
      </c>
      <c r="E97" s="6" t="s">
        <v>450</v>
      </c>
      <c r="F97" s="6" t="s">
        <v>451</v>
      </c>
      <c r="G97" s="6" t="s">
        <v>452</v>
      </c>
    </row>
    <row r="98" spans="1:7" ht="28" customHeight="1">
      <c r="A98" s="8">
        <v>72</v>
      </c>
      <c r="B98" s="8" t="s">
        <v>447</v>
      </c>
      <c r="C98" s="9" t="s">
        <v>448</v>
      </c>
      <c r="D98" s="8" t="s">
        <v>527</v>
      </c>
      <c r="E98" s="8" t="s">
        <v>457</v>
      </c>
      <c r="F98" s="8" t="s">
        <v>451</v>
      </c>
      <c r="G98" s="8" t="s">
        <v>452</v>
      </c>
    </row>
    <row r="99" spans="1:7" ht="28" customHeight="1">
      <c r="A99" s="6">
        <v>73</v>
      </c>
      <c r="B99" s="6" t="s">
        <v>447</v>
      </c>
      <c r="C99" s="7" t="s">
        <v>448</v>
      </c>
      <c r="D99" s="6" t="s">
        <v>112</v>
      </c>
      <c r="E99" s="6" t="s">
        <v>457</v>
      </c>
      <c r="F99" s="6" t="s">
        <v>451</v>
      </c>
      <c r="G99" s="6" t="s">
        <v>452</v>
      </c>
    </row>
    <row r="100" spans="1:7" ht="28" customHeight="1">
      <c r="A100" s="8">
        <v>74</v>
      </c>
      <c r="B100" s="8" t="s">
        <v>447</v>
      </c>
      <c r="C100" s="9" t="s">
        <v>448</v>
      </c>
      <c r="D100" s="8" t="s">
        <v>528</v>
      </c>
      <c r="E100" s="8" t="s">
        <v>519</v>
      </c>
      <c r="F100" s="8" t="s">
        <v>483</v>
      </c>
      <c r="G100" s="8" t="s">
        <v>452</v>
      </c>
    </row>
    <row r="101" spans="1:7" ht="28" customHeight="1">
      <c r="A101" s="8">
        <v>74</v>
      </c>
      <c r="B101" s="8" t="s">
        <v>447</v>
      </c>
      <c r="C101" s="9" t="s">
        <v>448</v>
      </c>
      <c r="D101" s="8" t="s">
        <v>529</v>
      </c>
      <c r="E101" s="8" t="s">
        <v>519</v>
      </c>
      <c r="F101" s="8" t="s">
        <v>471</v>
      </c>
      <c r="G101" s="8" t="s">
        <v>452</v>
      </c>
    </row>
    <row r="102" spans="1:7" ht="28" customHeight="1">
      <c r="A102" s="6">
        <v>75</v>
      </c>
      <c r="B102" s="6" t="s">
        <v>447</v>
      </c>
      <c r="C102" s="7" t="s">
        <v>448</v>
      </c>
      <c r="D102" s="6" t="s">
        <v>530</v>
      </c>
      <c r="E102" s="6" t="s">
        <v>519</v>
      </c>
      <c r="F102" s="6" t="s">
        <v>483</v>
      </c>
      <c r="G102" s="6" t="s">
        <v>452</v>
      </c>
    </row>
    <row r="103" spans="1:7" ht="28" customHeight="1">
      <c r="A103" s="6">
        <v>75</v>
      </c>
      <c r="B103" s="6" t="s">
        <v>447</v>
      </c>
      <c r="C103" s="7" t="s">
        <v>448</v>
      </c>
      <c r="D103" s="6" t="s">
        <v>531</v>
      </c>
      <c r="E103" s="6" t="s">
        <v>519</v>
      </c>
      <c r="F103" s="6" t="s">
        <v>471</v>
      </c>
      <c r="G103" s="6" t="s">
        <v>452</v>
      </c>
    </row>
    <row r="104" spans="1:7" ht="28" customHeight="1">
      <c r="A104" s="8">
        <v>76</v>
      </c>
      <c r="B104" s="8" t="s">
        <v>447</v>
      </c>
      <c r="C104" s="9" t="s">
        <v>448</v>
      </c>
      <c r="D104" s="8" t="s">
        <v>532</v>
      </c>
      <c r="E104" s="8" t="s">
        <v>519</v>
      </c>
      <c r="F104" s="8" t="s">
        <v>483</v>
      </c>
      <c r="G104" s="8" t="s">
        <v>452</v>
      </c>
    </row>
    <row r="105" spans="1:7" ht="28" customHeight="1">
      <c r="A105" s="8">
        <v>76</v>
      </c>
      <c r="B105" s="8" t="s">
        <v>447</v>
      </c>
      <c r="C105" s="9" t="s">
        <v>448</v>
      </c>
      <c r="D105" s="8" t="s">
        <v>533</v>
      </c>
      <c r="E105" s="8" t="s">
        <v>519</v>
      </c>
      <c r="F105" s="8" t="s">
        <v>471</v>
      </c>
      <c r="G105" s="8" t="s">
        <v>452</v>
      </c>
    </row>
    <row r="106" spans="1:7" ht="28" customHeight="1">
      <c r="A106" s="6">
        <v>77</v>
      </c>
      <c r="B106" s="6" t="s">
        <v>447</v>
      </c>
      <c r="C106" s="7" t="s">
        <v>448</v>
      </c>
      <c r="D106" s="6" t="s">
        <v>118</v>
      </c>
      <c r="E106" s="6" t="s">
        <v>454</v>
      </c>
      <c r="F106" s="6" t="s">
        <v>455</v>
      </c>
      <c r="G106" s="6" t="s">
        <v>452</v>
      </c>
    </row>
    <row r="107" spans="1:7" ht="28" customHeight="1">
      <c r="A107" s="6">
        <v>77</v>
      </c>
      <c r="B107" s="6" t="s">
        <v>447</v>
      </c>
      <c r="C107" s="7" t="s">
        <v>448</v>
      </c>
      <c r="D107" s="6" t="s">
        <v>534</v>
      </c>
      <c r="E107" s="6" t="s">
        <v>481</v>
      </c>
      <c r="F107" s="6" t="s">
        <v>455</v>
      </c>
      <c r="G107" s="6" t="s">
        <v>452</v>
      </c>
    </row>
    <row r="108" spans="1:7" ht="28" customHeight="1">
      <c r="A108" s="8">
        <v>78</v>
      </c>
      <c r="B108" s="8" t="s">
        <v>447</v>
      </c>
      <c r="C108" s="9" t="s">
        <v>448</v>
      </c>
      <c r="D108" s="8" t="s">
        <v>121</v>
      </c>
      <c r="E108" s="8" t="s">
        <v>454</v>
      </c>
      <c r="F108" s="8" t="s">
        <v>455</v>
      </c>
      <c r="G108" s="8" t="s">
        <v>452</v>
      </c>
    </row>
    <row r="109" spans="1:7" ht="28" customHeight="1">
      <c r="A109" s="8">
        <v>78</v>
      </c>
      <c r="B109" s="8" t="s">
        <v>447</v>
      </c>
      <c r="C109" s="9" t="s">
        <v>448</v>
      </c>
      <c r="D109" s="8" t="s">
        <v>535</v>
      </c>
      <c r="E109" s="8" t="s">
        <v>481</v>
      </c>
      <c r="F109" s="8" t="s">
        <v>494</v>
      </c>
      <c r="G109" s="8" t="s">
        <v>452</v>
      </c>
    </row>
    <row r="110" spans="1:7" ht="28" customHeight="1">
      <c r="A110" s="6">
        <v>79</v>
      </c>
      <c r="B110" s="6" t="s">
        <v>447</v>
      </c>
      <c r="C110" s="7" t="s">
        <v>448</v>
      </c>
      <c r="D110" s="6" t="s">
        <v>125</v>
      </c>
      <c r="E110" s="6" t="s">
        <v>457</v>
      </c>
      <c r="F110" s="6" t="s">
        <v>481</v>
      </c>
      <c r="G110" s="6" t="s">
        <v>452</v>
      </c>
    </row>
    <row r="111" spans="1:7" ht="28" customHeight="1">
      <c r="A111" s="6">
        <v>79</v>
      </c>
      <c r="B111" s="6" t="s">
        <v>447</v>
      </c>
      <c r="C111" s="7" t="s">
        <v>448</v>
      </c>
      <c r="D111" s="6" t="s">
        <v>536</v>
      </c>
      <c r="E111" s="6" t="s">
        <v>481</v>
      </c>
      <c r="F111" s="6" t="s">
        <v>455</v>
      </c>
      <c r="G111" s="6" t="s">
        <v>452</v>
      </c>
    </row>
    <row r="112" spans="1:7" ht="28" customHeight="1">
      <c r="A112" s="8">
        <v>80</v>
      </c>
      <c r="B112" s="8" t="s">
        <v>447</v>
      </c>
      <c r="C112" s="9" t="s">
        <v>448</v>
      </c>
      <c r="D112" s="8" t="s">
        <v>537</v>
      </c>
      <c r="E112" s="8" t="s">
        <v>457</v>
      </c>
      <c r="F112" s="8" t="s">
        <v>481</v>
      </c>
      <c r="G112" s="8" t="s">
        <v>452</v>
      </c>
    </row>
    <row r="113" spans="1:7" ht="28" customHeight="1">
      <c r="A113" s="8">
        <v>80</v>
      </c>
      <c r="B113" s="8" t="s">
        <v>447</v>
      </c>
      <c r="C113" s="9" t="s">
        <v>448</v>
      </c>
      <c r="D113" s="8" t="s">
        <v>538</v>
      </c>
      <c r="E113" s="8" t="s">
        <v>451</v>
      </c>
      <c r="F113" s="8" t="s">
        <v>481</v>
      </c>
      <c r="G113" s="8" t="s">
        <v>452</v>
      </c>
    </row>
    <row r="114" spans="1:7" ht="28" customHeight="1">
      <c r="A114" s="6">
        <v>81</v>
      </c>
      <c r="B114" s="6" t="s">
        <v>447</v>
      </c>
      <c r="C114" s="7" t="s">
        <v>448</v>
      </c>
      <c r="D114" s="6" t="s">
        <v>539</v>
      </c>
      <c r="E114" s="6" t="s">
        <v>471</v>
      </c>
      <c r="F114" s="6" t="s">
        <v>486</v>
      </c>
      <c r="G114" s="6" t="s">
        <v>452</v>
      </c>
    </row>
    <row r="115" spans="1:7" ht="28" customHeight="1">
      <c r="A115" s="8">
        <v>82</v>
      </c>
      <c r="B115" s="8" t="s">
        <v>447</v>
      </c>
      <c r="C115" s="9" t="s">
        <v>448</v>
      </c>
      <c r="D115" s="8" t="s">
        <v>540</v>
      </c>
      <c r="E115" s="8" t="s">
        <v>471</v>
      </c>
      <c r="F115" s="8" t="s">
        <v>486</v>
      </c>
      <c r="G115" s="8" t="s">
        <v>452</v>
      </c>
    </row>
    <row r="116" spans="1:7" ht="28" customHeight="1">
      <c r="A116" s="6">
        <v>83</v>
      </c>
      <c r="B116" s="6" t="s">
        <v>447</v>
      </c>
      <c r="C116" s="7" t="s">
        <v>448</v>
      </c>
      <c r="D116" s="6" t="s">
        <v>541</v>
      </c>
      <c r="E116" s="6" t="s">
        <v>462</v>
      </c>
      <c r="F116" s="6" t="s">
        <v>456</v>
      </c>
      <c r="G116" s="6" t="s">
        <v>542</v>
      </c>
    </row>
    <row r="117" spans="1:7" ht="28" customHeight="1">
      <c r="A117" s="6">
        <v>83</v>
      </c>
      <c r="B117" s="6" t="s">
        <v>447</v>
      </c>
      <c r="C117" s="7" t="s">
        <v>448</v>
      </c>
      <c r="D117" s="6" t="s">
        <v>543</v>
      </c>
      <c r="E117" s="6" t="s">
        <v>515</v>
      </c>
      <c r="F117" s="6" t="s">
        <v>455</v>
      </c>
      <c r="G117" s="6" t="s">
        <v>452</v>
      </c>
    </row>
    <row r="118" spans="1:7" ht="28" customHeight="1">
      <c r="A118" s="8">
        <v>84</v>
      </c>
      <c r="B118" s="8" t="s">
        <v>447</v>
      </c>
      <c r="C118" s="9" t="s">
        <v>448</v>
      </c>
      <c r="D118" s="8" t="s">
        <v>1634</v>
      </c>
      <c r="E118" s="8" t="s">
        <v>462</v>
      </c>
      <c r="F118" s="8" t="s">
        <v>456</v>
      </c>
      <c r="G118" s="8" t="s">
        <v>452</v>
      </c>
    </row>
    <row r="119" spans="1:7" ht="28" customHeight="1">
      <c r="A119" s="6">
        <v>85</v>
      </c>
      <c r="B119" s="6" t="s">
        <v>447</v>
      </c>
      <c r="C119" s="7" t="s">
        <v>448</v>
      </c>
      <c r="D119" s="6" t="s">
        <v>1636</v>
      </c>
      <c r="E119" s="6" t="s">
        <v>462</v>
      </c>
      <c r="F119" s="6" t="s">
        <v>456</v>
      </c>
      <c r="G119" s="6" t="s">
        <v>452</v>
      </c>
    </row>
    <row r="120" spans="1:7" ht="28" customHeight="1">
      <c r="A120" s="8">
        <v>86</v>
      </c>
      <c r="B120" s="8" t="s">
        <v>447</v>
      </c>
      <c r="C120" s="9" t="s">
        <v>448</v>
      </c>
      <c r="D120" s="8" t="s">
        <v>544</v>
      </c>
      <c r="E120" s="8" t="s">
        <v>457</v>
      </c>
      <c r="F120" s="8" t="s">
        <v>455</v>
      </c>
      <c r="G120" s="8" t="s">
        <v>452</v>
      </c>
    </row>
    <row r="121" spans="1:7" ht="28" customHeight="1">
      <c r="A121" s="6">
        <v>87</v>
      </c>
      <c r="B121" s="6" t="s">
        <v>447</v>
      </c>
      <c r="C121" s="7" t="s">
        <v>448</v>
      </c>
      <c r="D121" s="6" t="s">
        <v>545</v>
      </c>
      <c r="E121" s="6" t="s">
        <v>457</v>
      </c>
      <c r="F121" s="6" t="s">
        <v>485</v>
      </c>
      <c r="G121" s="6" t="s">
        <v>452</v>
      </c>
    </row>
    <row r="122" spans="1:7" ht="28" customHeight="1">
      <c r="A122" s="8">
        <v>88</v>
      </c>
      <c r="B122" s="8" t="s">
        <v>447</v>
      </c>
      <c r="C122" s="9" t="s">
        <v>448</v>
      </c>
      <c r="D122" s="8" t="s">
        <v>546</v>
      </c>
      <c r="E122" s="8" t="s">
        <v>451</v>
      </c>
      <c r="F122" s="8" t="s">
        <v>455</v>
      </c>
      <c r="G122" s="8" t="s">
        <v>452</v>
      </c>
    </row>
    <row r="123" spans="1:7" ht="28" customHeight="1">
      <c r="A123" s="8">
        <v>88</v>
      </c>
      <c r="B123" s="8" t="s">
        <v>447</v>
      </c>
      <c r="C123" s="9" t="s">
        <v>448</v>
      </c>
      <c r="D123" s="8" t="s">
        <v>547</v>
      </c>
      <c r="E123" s="8" t="s">
        <v>451</v>
      </c>
      <c r="F123" s="8" t="s">
        <v>465</v>
      </c>
      <c r="G123" s="8" t="s">
        <v>452</v>
      </c>
    </row>
    <row r="124" spans="1:7" ht="28" customHeight="1">
      <c r="A124" s="6">
        <v>89</v>
      </c>
      <c r="B124" s="6" t="s">
        <v>447</v>
      </c>
      <c r="C124" s="7" t="s">
        <v>448</v>
      </c>
      <c r="D124" s="6" t="s">
        <v>548</v>
      </c>
      <c r="E124" s="6" t="s">
        <v>451</v>
      </c>
      <c r="F124" s="6" t="s">
        <v>455</v>
      </c>
      <c r="G124" s="6" t="s">
        <v>452</v>
      </c>
    </row>
    <row r="125" spans="1:7" ht="28" customHeight="1">
      <c r="A125" s="6">
        <v>89</v>
      </c>
      <c r="B125" s="6" t="s">
        <v>447</v>
      </c>
      <c r="C125" s="7" t="s">
        <v>448</v>
      </c>
      <c r="D125" s="6" t="s">
        <v>549</v>
      </c>
      <c r="E125" s="6" t="s">
        <v>451</v>
      </c>
      <c r="F125" s="6" t="s">
        <v>465</v>
      </c>
      <c r="G125" s="6" t="s">
        <v>452</v>
      </c>
    </row>
    <row r="126" spans="1:7" ht="28" customHeight="1">
      <c r="A126" s="8">
        <v>90</v>
      </c>
      <c r="B126" s="8" t="s">
        <v>447</v>
      </c>
      <c r="C126" s="9" t="s">
        <v>448</v>
      </c>
      <c r="D126" s="8" t="s">
        <v>550</v>
      </c>
      <c r="E126" s="8" t="s">
        <v>457</v>
      </c>
      <c r="F126" s="8" t="s">
        <v>455</v>
      </c>
      <c r="G126" s="8" t="s">
        <v>452</v>
      </c>
    </row>
    <row r="127" spans="1:7" ht="28" customHeight="1">
      <c r="A127" s="6">
        <v>91</v>
      </c>
      <c r="B127" s="6" t="s">
        <v>447</v>
      </c>
      <c r="C127" s="7" t="s">
        <v>448</v>
      </c>
      <c r="D127" s="6" t="s">
        <v>551</v>
      </c>
      <c r="E127" s="6" t="s">
        <v>457</v>
      </c>
      <c r="F127" s="6" t="s">
        <v>485</v>
      </c>
      <c r="G127" s="6" t="s">
        <v>452</v>
      </c>
    </row>
    <row r="128" spans="1:7" ht="28" customHeight="1">
      <c r="A128" s="8">
        <v>92</v>
      </c>
      <c r="B128" s="8" t="s">
        <v>447</v>
      </c>
      <c r="C128" s="9" t="s">
        <v>448</v>
      </c>
      <c r="D128" s="8" t="s">
        <v>133</v>
      </c>
      <c r="E128" s="8" t="s">
        <v>552</v>
      </c>
      <c r="F128" s="8" t="s">
        <v>451</v>
      </c>
      <c r="G128" s="8" t="s">
        <v>452</v>
      </c>
    </row>
    <row r="129" spans="1:7" ht="28" customHeight="1">
      <c r="A129" s="6">
        <v>93</v>
      </c>
      <c r="B129" s="6" t="s">
        <v>447</v>
      </c>
      <c r="C129" s="7" t="s">
        <v>448</v>
      </c>
      <c r="D129" s="6" t="s">
        <v>134</v>
      </c>
      <c r="E129" s="6" t="s">
        <v>552</v>
      </c>
      <c r="F129" s="6" t="s">
        <v>451</v>
      </c>
      <c r="G129" s="6" t="s">
        <v>452</v>
      </c>
    </row>
    <row r="130" spans="1:7" ht="28" customHeight="1">
      <c r="A130" s="8">
        <v>94</v>
      </c>
      <c r="B130" s="8" t="s">
        <v>447</v>
      </c>
      <c r="C130" s="9" t="s">
        <v>448</v>
      </c>
      <c r="D130" s="8" t="s">
        <v>135</v>
      </c>
      <c r="E130" s="8" t="s">
        <v>552</v>
      </c>
      <c r="F130" s="8" t="s">
        <v>451</v>
      </c>
      <c r="G130" s="8" t="s">
        <v>452</v>
      </c>
    </row>
    <row r="131" spans="1:7" ht="28" customHeight="1">
      <c r="A131" s="6">
        <v>95</v>
      </c>
      <c r="B131" s="6" t="s">
        <v>447</v>
      </c>
      <c r="C131" s="7" t="s">
        <v>448</v>
      </c>
      <c r="D131" s="6" t="s">
        <v>138</v>
      </c>
      <c r="E131" s="6" t="s">
        <v>519</v>
      </c>
      <c r="F131" s="6" t="s">
        <v>483</v>
      </c>
      <c r="G131" s="6" t="s">
        <v>452</v>
      </c>
    </row>
    <row r="132" spans="1:7" ht="28" customHeight="1">
      <c r="A132" s="8">
        <v>96</v>
      </c>
      <c r="B132" s="8" t="s">
        <v>447</v>
      </c>
      <c r="C132" s="9" t="s">
        <v>448</v>
      </c>
      <c r="D132" s="8" t="s">
        <v>553</v>
      </c>
      <c r="E132" s="8" t="s">
        <v>481</v>
      </c>
      <c r="F132" s="8" t="s">
        <v>455</v>
      </c>
      <c r="G132" s="8" t="s">
        <v>452</v>
      </c>
    </row>
    <row r="133" spans="1:7" ht="28" customHeight="1">
      <c r="A133" s="6">
        <v>97</v>
      </c>
      <c r="B133" s="6" t="s">
        <v>447</v>
      </c>
      <c r="C133" s="7" t="s">
        <v>448</v>
      </c>
      <c r="D133" s="6" t="s">
        <v>1649</v>
      </c>
      <c r="E133" s="6" t="s">
        <v>481</v>
      </c>
      <c r="F133" s="6" t="s">
        <v>455</v>
      </c>
      <c r="G133" s="6" t="s">
        <v>452</v>
      </c>
    </row>
    <row r="134" spans="1:7" ht="28" customHeight="1">
      <c r="A134" s="8">
        <v>98</v>
      </c>
      <c r="B134" s="8" t="s">
        <v>447</v>
      </c>
      <c r="C134" s="9" t="s">
        <v>448</v>
      </c>
      <c r="D134" s="8" t="s">
        <v>554</v>
      </c>
      <c r="E134" s="8" t="s">
        <v>457</v>
      </c>
      <c r="F134" s="8" t="s">
        <v>455</v>
      </c>
      <c r="G134" s="8" t="s">
        <v>452</v>
      </c>
    </row>
    <row r="135" spans="1:7" ht="28" customHeight="1">
      <c r="A135" s="6">
        <v>99</v>
      </c>
      <c r="B135" s="6" t="s">
        <v>447</v>
      </c>
      <c r="C135" s="7" t="s">
        <v>448</v>
      </c>
      <c r="D135" s="6" t="s">
        <v>555</v>
      </c>
      <c r="E135" s="6" t="s">
        <v>457</v>
      </c>
      <c r="F135" s="6" t="s">
        <v>455</v>
      </c>
      <c r="G135" s="6" t="s">
        <v>452</v>
      </c>
    </row>
    <row r="136" spans="1:7" ht="28" customHeight="1">
      <c r="A136" s="8">
        <v>100</v>
      </c>
      <c r="B136" s="8" t="s">
        <v>447</v>
      </c>
      <c r="C136" s="9" t="s">
        <v>448</v>
      </c>
      <c r="D136" s="8" t="s">
        <v>140</v>
      </c>
      <c r="E136" s="8" t="s">
        <v>471</v>
      </c>
      <c r="F136" s="8" t="s">
        <v>455</v>
      </c>
      <c r="G136" s="8" t="s">
        <v>452</v>
      </c>
    </row>
    <row r="137" spans="1:7" ht="28" customHeight="1">
      <c r="A137" s="8">
        <v>100</v>
      </c>
      <c r="B137" s="8" t="s">
        <v>447</v>
      </c>
      <c r="C137" s="9" t="s">
        <v>448</v>
      </c>
      <c r="D137" s="8" t="s">
        <v>556</v>
      </c>
      <c r="E137" s="8" t="s">
        <v>471</v>
      </c>
      <c r="F137" s="8" t="s">
        <v>450</v>
      </c>
      <c r="G137" s="8" t="s">
        <v>452</v>
      </c>
    </row>
    <row r="138" spans="1:7" ht="28" customHeight="1">
      <c r="A138" s="6">
        <v>101</v>
      </c>
      <c r="B138" s="6" t="s">
        <v>447</v>
      </c>
      <c r="C138" s="7" t="s">
        <v>448</v>
      </c>
      <c r="D138" s="6" t="s">
        <v>557</v>
      </c>
      <c r="E138" s="6" t="s">
        <v>471</v>
      </c>
      <c r="F138" s="6" t="s">
        <v>455</v>
      </c>
      <c r="G138" s="6" t="s">
        <v>452</v>
      </c>
    </row>
    <row r="139" spans="1:7" ht="28" customHeight="1">
      <c r="A139" s="6">
        <v>101</v>
      </c>
      <c r="B139" s="6" t="s">
        <v>447</v>
      </c>
      <c r="C139" s="7" t="s">
        <v>448</v>
      </c>
      <c r="D139" s="6" t="s">
        <v>558</v>
      </c>
      <c r="E139" s="6" t="s">
        <v>471</v>
      </c>
      <c r="F139" s="6" t="s">
        <v>450</v>
      </c>
      <c r="G139" s="6" t="s">
        <v>452</v>
      </c>
    </row>
    <row r="140" spans="1:7" ht="28" customHeight="1">
      <c r="A140" s="8">
        <v>102</v>
      </c>
      <c r="B140" s="8" t="s">
        <v>447</v>
      </c>
      <c r="C140" s="9" t="s">
        <v>448</v>
      </c>
      <c r="D140" s="8" t="s">
        <v>142</v>
      </c>
      <c r="E140" s="8" t="s">
        <v>450</v>
      </c>
      <c r="F140" s="8" t="s">
        <v>481</v>
      </c>
      <c r="G140" s="8" t="s">
        <v>452</v>
      </c>
    </row>
    <row r="141" spans="1:7" ht="28" customHeight="1">
      <c r="A141" s="6">
        <v>103</v>
      </c>
      <c r="B141" s="6" t="s">
        <v>447</v>
      </c>
      <c r="C141" s="7" t="s">
        <v>448</v>
      </c>
      <c r="D141" s="6" t="s">
        <v>559</v>
      </c>
      <c r="E141" s="6" t="s">
        <v>450</v>
      </c>
      <c r="F141" s="6" t="s">
        <v>481</v>
      </c>
      <c r="G141" s="6" t="s">
        <v>452</v>
      </c>
    </row>
    <row r="142" spans="1:7" ht="28" customHeight="1">
      <c r="A142" s="6">
        <v>103</v>
      </c>
      <c r="B142" s="6" t="s">
        <v>447</v>
      </c>
      <c r="C142" s="7" t="s">
        <v>448</v>
      </c>
      <c r="D142" s="6" t="s">
        <v>560</v>
      </c>
      <c r="E142" s="6" t="s">
        <v>450</v>
      </c>
      <c r="F142" s="6" t="s">
        <v>561</v>
      </c>
      <c r="G142" s="6" t="s">
        <v>452</v>
      </c>
    </row>
    <row r="143" spans="1:7" ht="28" customHeight="1">
      <c r="A143" s="8">
        <v>104</v>
      </c>
      <c r="B143" s="8" t="s">
        <v>447</v>
      </c>
      <c r="C143" s="9" t="s">
        <v>448</v>
      </c>
      <c r="D143" s="8" t="s">
        <v>562</v>
      </c>
      <c r="E143" s="8" t="s">
        <v>483</v>
      </c>
      <c r="F143" s="8" t="s">
        <v>455</v>
      </c>
      <c r="G143" s="8" t="s">
        <v>452</v>
      </c>
    </row>
    <row r="144" spans="1:7" ht="28" customHeight="1">
      <c r="A144" s="6">
        <v>105</v>
      </c>
      <c r="B144" s="6" t="s">
        <v>447</v>
      </c>
      <c r="C144" s="7" t="s">
        <v>448</v>
      </c>
      <c r="D144" s="6" t="s">
        <v>563</v>
      </c>
      <c r="E144" s="6" t="s">
        <v>483</v>
      </c>
      <c r="F144" s="6" t="s">
        <v>455</v>
      </c>
      <c r="G144" s="6" t="s">
        <v>452</v>
      </c>
    </row>
    <row r="145" spans="1:7" ht="28" customHeight="1">
      <c r="A145" s="6">
        <v>105</v>
      </c>
      <c r="B145" s="6" t="s">
        <v>447</v>
      </c>
      <c r="C145" s="7" t="s">
        <v>448</v>
      </c>
      <c r="D145" s="6" t="s">
        <v>564</v>
      </c>
      <c r="E145" s="6" t="s">
        <v>454</v>
      </c>
      <c r="F145" s="6" t="s">
        <v>552</v>
      </c>
      <c r="G145" s="6" t="s">
        <v>452</v>
      </c>
    </row>
    <row r="146" spans="1:7" ht="28" customHeight="1">
      <c r="A146" s="8">
        <v>106</v>
      </c>
      <c r="B146" s="8" t="s">
        <v>447</v>
      </c>
      <c r="C146" s="9" t="s">
        <v>448</v>
      </c>
      <c r="D146" s="8" t="s">
        <v>565</v>
      </c>
      <c r="E146" s="8" t="s">
        <v>515</v>
      </c>
      <c r="F146" s="8" t="s">
        <v>455</v>
      </c>
      <c r="G146" s="8" t="s">
        <v>452</v>
      </c>
    </row>
    <row r="147" spans="1:7" ht="28" customHeight="1">
      <c r="A147" s="6">
        <v>107</v>
      </c>
      <c r="B147" s="6" t="s">
        <v>447</v>
      </c>
      <c r="C147" s="7" t="s">
        <v>448</v>
      </c>
      <c r="D147" s="6" t="s">
        <v>566</v>
      </c>
      <c r="E147" s="6" t="s">
        <v>515</v>
      </c>
      <c r="F147" s="6" t="s">
        <v>455</v>
      </c>
      <c r="G147" s="6" t="s">
        <v>452</v>
      </c>
    </row>
    <row r="148" spans="1:7" ht="28" customHeight="1">
      <c r="A148" s="8">
        <v>108</v>
      </c>
      <c r="B148" s="8" t="s">
        <v>447</v>
      </c>
      <c r="C148" s="9" t="s">
        <v>448</v>
      </c>
      <c r="D148" s="8" t="s">
        <v>567</v>
      </c>
      <c r="E148" s="8" t="s">
        <v>462</v>
      </c>
      <c r="F148" s="8" t="s">
        <v>455</v>
      </c>
      <c r="G148" s="8" t="s">
        <v>452</v>
      </c>
    </row>
    <row r="149" spans="1:7" ht="28" customHeight="1">
      <c r="A149" s="6">
        <v>109</v>
      </c>
      <c r="B149" s="6" t="s">
        <v>447</v>
      </c>
      <c r="C149" s="7" t="s">
        <v>448</v>
      </c>
      <c r="D149" s="6" t="s">
        <v>146</v>
      </c>
      <c r="E149" s="6" t="s">
        <v>451</v>
      </c>
      <c r="F149" s="6" t="s">
        <v>455</v>
      </c>
      <c r="G149" s="6" t="s">
        <v>452</v>
      </c>
    </row>
    <row r="150" spans="1:7" ht="28" customHeight="1">
      <c r="A150" s="8">
        <v>110</v>
      </c>
      <c r="B150" s="8" t="s">
        <v>447</v>
      </c>
      <c r="C150" s="9" t="s">
        <v>448</v>
      </c>
      <c r="D150" s="8" t="s">
        <v>568</v>
      </c>
      <c r="E150" s="8" t="s">
        <v>451</v>
      </c>
      <c r="F150" s="8" t="s">
        <v>455</v>
      </c>
      <c r="G150" s="8" t="s">
        <v>452</v>
      </c>
    </row>
    <row r="151" spans="1:7" ht="28" customHeight="1">
      <c r="A151" s="8">
        <v>110</v>
      </c>
      <c r="B151" s="8" t="s">
        <v>447</v>
      </c>
      <c r="C151" s="9" t="s">
        <v>448</v>
      </c>
      <c r="D151" s="8" t="s">
        <v>569</v>
      </c>
      <c r="E151" s="8" t="s">
        <v>451</v>
      </c>
      <c r="F151" s="8" t="s">
        <v>494</v>
      </c>
      <c r="G151" s="8" t="s">
        <v>452</v>
      </c>
    </row>
    <row r="152" spans="1:7" ht="28" customHeight="1">
      <c r="A152" s="6">
        <v>111</v>
      </c>
      <c r="B152" s="6" t="s">
        <v>447</v>
      </c>
      <c r="C152" s="7" t="s">
        <v>448</v>
      </c>
      <c r="D152" s="6" t="s">
        <v>1665</v>
      </c>
      <c r="E152" s="6" t="s">
        <v>483</v>
      </c>
      <c r="F152" s="6" t="s">
        <v>519</v>
      </c>
      <c r="G152" s="6" t="s">
        <v>452</v>
      </c>
    </row>
    <row r="153" spans="1:7" ht="28" customHeight="1">
      <c r="A153" s="8">
        <v>112</v>
      </c>
      <c r="B153" s="8" t="s">
        <v>447</v>
      </c>
      <c r="C153" s="9" t="s">
        <v>448</v>
      </c>
      <c r="D153" s="8" t="s">
        <v>1667</v>
      </c>
      <c r="E153" s="8" t="s">
        <v>483</v>
      </c>
      <c r="F153" s="8" t="s">
        <v>519</v>
      </c>
      <c r="G153" s="8" t="s">
        <v>452</v>
      </c>
    </row>
    <row r="154" spans="1:7" ht="28" customHeight="1">
      <c r="A154" s="6">
        <v>113</v>
      </c>
      <c r="B154" s="6" t="s">
        <v>447</v>
      </c>
      <c r="C154" s="7" t="s">
        <v>448</v>
      </c>
      <c r="D154" s="6" t="s">
        <v>570</v>
      </c>
      <c r="E154" s="6" t="s">
        <v>462</v>
      </c>
      <c r="F154" s="6" t="s">
        <v>455</v>
      </c>
      <c r="G154" s="6" t="s">
        <v>452</v>
      </c>
    </row>
    <row r="155" spans="1:7" ht="28" customHeight="1">
      <c r="A155" s="8">
        <v>114</v>
      </c>
      <c r="B155" s="8" t="s">
        <v>447</v>
      </c>
      <c r="C155" s="9" t="s">
        <v>448</v>
      </c>
      <c r="D155" s="8" t="s">
        <v>148</v>
      </c>
      <c r="E155" s="8" t="s">
        <v>450</v>
      </c>
      <c r="F155" s="8" t="s">
        <v>455</v>
      </c>
      <c r="G155" s="8" t="s">
        <v>452</v>
      </c>
    </row>
    <row r="156" spans="1:7" ht="28" customHeight="1">
      <c r="A156" s="6">
        <v>115</v>
      </c>
      <c r="B156" s="6" t="s">
        <v>447</v>
      </c>
      <c r="C156" s="7" t="s">
        <v>448</v>
      </c>
      <c r="D156" s="6" t="s">
        <v>571</v>
      </c>
      <c r="E156" s="6" t="s">
        <v>462</v>
      </c>
      <c r="F156" s="6" t="s">
        <v>455</v>
      </c>
      <c r="G156" s="6" t="s">
        <v>542</v>
      </c>
    </row>
    <row r="157" spans="1:7" ht="28" customHeight="1">
      <c r="A157" s="8">
        <v>116</v>
      </c>
      <c r="B157" s="8" t="s">
        <v>447</v>
      </c>
      <c r="C157" s="9" t="s">
        <v>448</v>
      </c>
      <c r="D157" s="8" t="s">
        <v>572</v>
      </c>
      <c r="E157" s="8" t="s">
        <v>457</v>
      </c>
      <c r="F157" s="8" t="s">
        <v>455</v>
      </c>
      <c r="G157" s="8" t="s">
        <v>452</v>
      </c>
    </row>
    <row r="158" spans="1:7" ht="28" customHeight="1">
      <c r="A158" s="6">
        <v>117</v>
      </c>
      <c r="B158" s="6" t="s">
        <v>447</v>
      </c>
      <c r="C158" s="7" t="s">
        <v>448</v>
      </c>
      <c r="D158" s="6" t="s">
        <v>573</v>
      </c>
      <c r="E158" s="6" t="s">
        <v>457</v>
      </c>
      <c r="F158" s="6" t="s">
        <v>455</v>
      </c>
      <c r="G158" s="6" t="s">
        <v>452</v>
      </c>
    </row>
    <row r="159" spans="1:7" ht="28" customHeight="1">
      <c r="A159" s="8">
        <v>118</v>
      </c>
      <c r="B159" s="8" t="s">
        <v>447</v>
      </c>
      <c r="C159" s="9" t="s">
        <v>448</v>
      </c>
      <c r="D159" s="6" t="s">
        <v>1674</v>
      </c>
      <c r="E159" s="8" t="s">
        <v>457</v>
      </c>
      <c r="F159" s="8" t="s">
        <v>455</v>
      </c>
      <c r="G159" s="8" t="s">
        <v>452</v>
      </c>
    </row>
    <row r="160" spans="1:7" ht="28" customHeight="1">
      <c r="A160" s="6">
        <v>119</v>
      </c>
      <c r="B160" s="6" t="s">
        <v>447</v>
      </c>
      <c r="C160" s="7" t="s">
        <v>448</v>
      </c>
      <c r="D160" s="8" t="s">
        <v>1676</v>
      </c>
      <c r="E160" s="6" t="s">
        <v>457</v>
      </c>
      <c r="F160" s="6" t="s">
        <v>455</v>
      </c>
      <c r="G160" s="6" t="s">
        <v>452</v>
      </c>
    </row>
    <row r="161" spans="1:7" ht="28" customHeight="1">
      <c r="A161" s="8">
        <v>120</v>
      </c>
      <c r="B161" s="8" t="s">
        <v>447</v>
      </c>
      <c r="C161" s="9" t="s">
        <v>448</v>
      </c>
      <c r="D161" s="8" t="s">
        <v>574</v>
      </c>
      <c r="E161" s="8" t="s">
        <v>457</v>
      </c>
      <c r="F161" s="8" t="s">
        <v>455</v>
      </c>
      <c r="G161" s="8" t="s">
        <v>452</v>
      </c>
    </row>
    <row r="162" spans="1:7" ht="28" customHeight="1">
      <c r="A162" s="6">
        <v>121</v>
      </c>
      <c r="B162" s="6" t="s">
        <v>447</v>
      </c>
      <c r="C162" s="7" t="s">
        <v>448</v>
      </c>
      <c r="D162" s="6" t="s">
        <v>150</v>
      </c>
      <c r="E162" s="6" t="s">
        <v>457</v>
      </c>
      <c r="F162" s="6" t="s">
        <v>481</v>
      </c>
      <c r="G162" s="6" t="s">
        <v>452</v>
      </c>
    </row>
    <row r="163" spans="1:7" ht="28" customHeight="1">
      <c r="A163" s="8">
        <v>122</v>
      </c>
      <c r="B163" s="8" t="s">
        <v>447</v>
      </c>
      <c r="C163" s="9" t="s">
        <v>448</v>
      </c>
      <c r="D163" s="8" t="s">
        <v>575</v>
      </c>
      <c r="E163" s="8" t="s">
        <v>481</v>
      </c>
      <c r="F163" s="8" t="s">
        <v>494</v>
      </c>
      <c r="G163" s="8" t="s">
        <v>452</v>
      </c>
    </row>
    <row r="164" spans="1:7" ht="28" customHeight="1">
      <c r="A164" s="8">
        <v>122</v>
      </c>
      <c r="B164" s="8" t="s">
        <v>447</v>
      </c>
      <c r="C164" s="9" t="s">
        <v>448</v>
      </c>
      <c r="D164" s="8" t="s">
        <v>576</v>
      </c>
      <c r="E164" s="8" t="s">
        <v>485</v>
      </c>
      <c r="F164" s="8" t="s">
        <v>481</v>
      </c>
      <c r="G164" s="8" t="s">
        <v>452</v>
      </c>
    </row>
    <row r="165" spans="1:7" ht="28" customHeight="1">
      <c r="A165" s="6">
        <v>123</v>
      </c>
      <c r="B165" s="6" t="s">
        <v>447</v>
      </c>
      <c r="C165" s="7" t="s">
        <v>448</v>
      </c>
      <c r="D165" s="8" t="s">
        <v>1681</v>
      </c>
      <c r="E165" s="6" t="s">
        <v>460</v>
      </c>
      <c r="F165" s="6" t="s">
        <v>456</v>
      </c>
      <c r="G165" s="6" t="s">
        <v>452</v>
      </c>
    </row>
    <row r="166" spans="1:7" ht="28" customHeight="1">
      <c r="A166" s="8">
        <v>124</v>
      </c>
      <c r="B166" s="8" t="s">
        <v>447</v>
      </c>
      <c r="C166" s="9" t="s">
        <v>448</v>
      </c>
      <c r="D166" s="8" t="s">
        <v>577</v>
      </c>
      <c r="E166" s="8" t="s">
        <v>485</v>
      </c>
      <c r="F166" s="8" t="s">
        <v>481</v>
      </c>
      <c r="G166" s="8" t="s">
        <v>452</v>
      </c>
    </row>
    <row r="167" spans="1:7" ht="28" customHeight="1">
      <c r="A167" s="6">
        <v>125</v>
      </c>
      <c r="B167" s="6" t="s">
        <v>447</v>
      </c>
      <c r="C167" s="7" t="s">
        <v>448</v>
      </c>
      <c r="D167" s="6" t="s">
        <v>154</v>
      </c>
      <c r="E167" s="6" t="s">
        <v>471</v>
      </c>
      <c r="F167" s="6" t="s">
        <v>455</v>
      </c>
      <c r="G167" s="6" t="s">
        <v>452</v>
      </c>
    </row>
    <row r="168" spans="1:7" ht="28" customHeight="1">
      <c r="A168" s="8">
        <v>126</v>
      </c>
      <c r="B168" s="8" t="s">
        <v>447</v>
      </c>
      <c r="C168" s="9" t="s">
        <v>448</v>
      </c>
      <c r="D168" s="8" t="s">
        <v>155</v>
      </c>
      <c r="E168" s="8" t="s">
        <v>454</v>
      </c>
      <c r="F168" s="8" t="s">
        <v>455</v>
      </c>
      <c r="G168" s="8" t="s">
        <v>452</v>
      </c>
    </row>
    <row r="169" spans="1:7" ht="28" customHeight="1">
      <c r="A169" s="6">
        <v>127</v>
      </c>
      <c r="B169" s="6" t="s">
        <v>447</v>
      </c>
      <c r="C169" s="7" t="s">
        <v>448</v>
      </c>
      <c r="D169" s="6" t="s">
        <v>578</v>
      </c>
      <c r="E169" s="6" t="s">
        <v>460</v>
      </c>
      <c r="F169" s="6" t="s">
        <v>455</v>
      </c>
      <c r="G169" s="6" t="s">
        <v>542</v>
      </c>
    </row>
    <row r="170" spans="1:7" ht="28" customHeight="1">
      <c r="A170" s="8">
        <v>128</v>
      </c>
      <c r="B170" s="8" t="s">
        <v>447</v>
      </c>
      <c r="C170" s="9" t="s">
        <v>448</v>
      </c>
      <c r="D170" s="8" t="s">
        <v>157</v>
      </c>
      <c r="E170" s="8" t="s">
        <v>462</v>
      </c>
      <c r="F170" s="8" t="s">
        <v>455</v>
      </c>
      <c r="G170" s="8" t="s">
        <v>542</v>
      </c>
    </row>
    <row r="171" spans="1:7" ht="28" customHeight="1">
      <c r="A171" s="8">
        <v>128</v>
      </c>
      <c r="B171" s="8" t="s">
        <v>447</v>
      </c>
      <c r="C171" s="9" t="s">
        <v>448</v>
      </c>
      <c r="D171" s="8" t="s">
        <v>579</v>
      </c>
      <c r="E171" s="8" t="s">
        <v>515</v>
      </c>
      <c r="F171" s="8" t="s">
        <v>455</v>
      </c>
      <c r="G171" s="8" t="s">
        <v>542</v>
      </c>
    </row>
    <row r="172" spans="1:7" ht="28" customHeight="1">
      <c r="A172" s="8">
        <v>128</v>
      </c>
      <c r="B172" s="8" t="s">
        <v>447</v>
      </c>
      <c r="C172" s="9" t="s">
        <v>448</v>
      </c>
      <c r="D172" s="8" t="s">
        <v>580</v>
      </c>
      <c r="E172" s="8" t="s">
        <v>515</v>
      </c>
      <c r="F172" s="8" t="s">
        <v>454</v>
      </c>
      <c r="G172" s="8" t="s">
        <v>542</v>
      </c>
    </row>
    <row r="173" spans="1:7" ht="28" customHeight="1">
      <c r="A173" s="8">
        <v>128</v>
      </c>
      <c r="B173" s="8" t="s">
        <v>447</v>
      </c>
      <c r="C173" s="9" t="s">
        <v>448</v>
      </c>
      <c r="D173" s="8" t="s">
        <v>581</v>
      </c>
      <c r="E173" s="8" t="s">
        <v>515</v>
      </c>
      <c r="F173" s="8" t="s">
        <v>457</v>
      </c>
      <c r="G173" s="8" t="s">
        <v>542</v>
      </c>
    </row>
    <row r="174" spans="1:7" ht="28" customHeight="1">
      <c r="A174" s="6">
        <v>129</v>
      </c>
      <c r="B174" s="6" t="s">
        <v>447</v>
      </c>
      <c r="C174" s="7" t="s">
        <v>448</v>
      </c>
      <c r="D174" s="6" t="s">
        <v>159</v>
      </c>
      <c r="E174" s="6" t="s">
        <v>457</v>
      </c>
      <c r="F174" s="6" t="s">
        <v>455</v>
      </c>
      <c r="G174" s="6" t="s">
        <v>452</v>
      </c>
    </row>
    <row r="175" spans="1:7" ht="28" customHeight="1">
      <c r="A175" s="8">
        <v>130</v>
      </c>
      <c r="B175" s="8" t="s">
        <v>447</v>
      </c>
      <c r="C175" s="9" t="s">
        <v>448</v>
      </c>
      <c r="D175" s="8" t="s">
        <v>161</v>
      </c>
      <c r="E175" s="10" t="s">
        <v>457</v>
      </c>
      <c r="F175" s="8" t="s">
        <v>456</v>
      </c>
      <c r="G175" s="8" t="s">
        <v>452</v>
      </c>
    </row>
    <row r="176" spans="1:7" ht="28" customHeight="1">
      <c r="A176" s="6">
        <v>131</v>
      </c>
      <c r="B176" s="6" t="s">
        <v>447</v>
      </c>
      <c r="C176" s="7" t="s">
        <v>448</v>
      </c>
      <c r="D176" s="6" t="s">
        <v>582</v>
      </c>
      <c r="E176" s="6" t="s">
        <v>457</v>
      </c>
      <c r="F176" s="6" t="s">
        <v>485</v>
      </c>
      <c r="G176" s="6" t="s">
        <v>542</v>
      </c>
    </row>
    <row r="177" spans="1:7" ht="28" customHeight="1">
      <c r="A177" s="8">
        <v>132</v>
      </c>
      <c r="B177" s="8" t="s">
        <v>447</v>
      </c>
      <c r="C177" s="9" t="s">
        <v>448</v>
      </c>
      <c r="D177" s="8" t="s">
        <v>583</v>
      </c>
      <c r="E177" s="8" t="s">
        <v>462</v>
      </c>
      <c r="F177" s="8" t="s">
        <v>455</v>
      </c>
      <c r="G177" s="8" t="s">
        <v>542</v>
      </c>
    </row>
    <row r="178" spans="1:7" ht="28" customHeight="1">
      <c r="A178" s="6">
        <v>133</v>
      </c>
      <c r="B178" s="6" t="s">
        <v>447</v>
      </c>
      <c r="C178" s="7" t="s">
        <v>448</v>
      </c>
      <c r="D178" s="6" t="s">
        <v>165</v>
      </c>
      <c r="E178" s="6" t="s">
        <v>462</v>
      </c>
      <c r="F178" s="6" t="s">
        <v>455</v>
      </c>
      <c r="G178" s="6" t="s">
        <v>452</v>
      </c>
    </row>
    <row r="179" spans="1:7" ht="28" customHeight="1">
      <c r="A179" s="8">
        <v>134</v>
      </c>
      <c r="B179" s="8" t="s">
        <v>447</v>
      </c>
      <c r="C179" s="9" t="s">
        <v>448</v>
      </c>
      <c r="D179" s="8" t="s">
        <v>584</v>
      </c>
      <c r="E179" s="8" t="s">
        <v>457</v>
      </c>
      <c r="F179" s="8" t="s">
        <v>455</v>
      </c>
      <c r="G179" s="8" t="s">
        <v>452</v>
      </c>
    </row>
    <row r="180" spans="1:7" ht="28" customHeight="1">
      <c r="A180" s="6">
        <v>135</v>
      </c>
      <c r="B180" s="6" t="s">
        <v>447</v>
      </c>
      <c r="C180" s="7" t="s">
        <v>448</v>
      </c>
      <c r="D180" s="6" t="s">
        <v>585</v>
      </c>
      <c r="E180" s="6" t="s">
        <v>471</v>
      </c>
      <c r="F180" s="6" t="s">
        <v>455</v>
      </c>
      <c r="G180" s="6" t="s">
        <v>452</v>
      </c>
    </row>
    <row r="181" spans="1:7" ht="28" customHeight="1">
      <c r="A181" s="8">
        <v>136</v>
      </c>
      <c r="B181" s="8" t="s">
        <v>447</v>
      </c>
      <c r="C181" s="9" t="s">
        <v>448</v>
      </c>
      <c r="D181" s="8" t="s">
        <v>586</v>
      </c>
      <c r="E181" s="8" t="s">
        <v>454</v>
      </c>
      <c r="F181" s="8" t="s">
        <v>455</v>
      </c>
      <c r="G181" s="8" t="s">
        <v>452</v>
      </c>
    </row>
    <row r="182" spans="1:7" ht="28" customHeight="1">
      <c r="A182" s="6">
        <v>137</v>
      </c>
      <c r="B182" s="6" t="s">
        <v>447</v>
      </c>
      <c r="C182" s="7" t="s">
        <v>448</v>
      </c>
      <c r="D182" s="6" t="s">
        <v>167</v>
      </c>
      <c r="E182" s="6" t="s">
        <v>462</v>
      </c>
      <c r="F182" s="6" t="s">
        <v>455</v>
      </c>
      <c r="G182" s="6" t="s">
        <v>452</v>
      </c>
    </row>
    <row r="183" spans="1:7" ht="28" customHeight="1">
      <c r="A183" s="8">
        <v>138</v>
      </c>
      <c r="B183" s="8" t="s">
        <v>447</v>
      </c>
      <c r="C183" s="9" t="s">
        <v>448</v>
      </c>
      <c r="D183" s="8" t="s">
        <v>587</v>
      </c>
      <c r="E183" s="8" t="s">
        <v>519</v>
      </c>
      <c r="F183" s="8" t="s">
        <v>457</v>
      </c>
      <c r="G183" s="8" t="s">
        <v>452</v>
      </c>
    </row>
    <row r="184" spans="1:7" ht="28" customHeight="1">
      <c r="A184" s="6">
        <v>139</v>
      </c>
      <c r="B184" s="6" t="s">
        <v>447</v>
      </c>
      <c r="C184" s="7" t="s">
        <v>448</v>
      </c>
      <c r="D184" s="6" t="s">
        <v>588</v>
      </c>
      <c r="E184" s="6" t="s">
        <v>519</v>
      </c>
      <c r="F184" s="6" t="s">
        <v>457</v>
      </c>
      <c r="G184" s="6" t="s">
        <v>452</v>
      </c>
    </row>
    <row r="185" spans="1:7" ht="28" customHeight="1">
      <c r="A185" s="8">
        <v>140</v>
      </c>
      <c r="B185" s="8" t="s">
        <v>447</v>
      </c>
      <c r="C185" s="9" t="s">
        <v>448</v>
      </c>
      <c r="D185" s="8" t="s">
        <v>589</v>
      </c>
      <c r="E185" s="8" t="s">
        <v>519</v>
      </c>
      <c r="F185" s="8" t="s">
        <v>457</v>
      </c>
      <c r="G185" s="8" t="s">
        <v>452</v>
      </c>
    </row>
    <row r="186" spans="1:7" ht="28" customHeight="1">
      <c r="A186" s="6">
        <v>141</v>
      </c>
      <c r="B186" s="6" t="s">
        <v>447</v>
      </c>
      <c r="C186" s="7" t="s">
        <v>448</v>
      </c>
      <c r="D186" s="6" t="s">
        <v>590</v>
      </c>
      <c r="E186" s="6" t="s">
        <v>519</v>
      </c>
      <c r="F186" s="6" t="s">
        <v>457</v>
      </c>
      <c r="G186" s="6" t="s">
        <v>452</v>
      </c>
    </row>
    <row r="187" spans="1:7" ht="28" customHeight="1">
      <c r="A187" s="8">
        <v>142</v>
      </c>
      <c r="B187" s="8" t="s">
        <v>447</v>
      </c>
      <c r="C187" s="9" t="s">
        <v>448</v>
      </c>
      <c r="D187" s="8" t="s">
        <v>591</v>
      </c>
      <c r="E187" s="8" t="s">
        <v>519</v>
      </c>
      <c r="F187" s="8" t="s">
        <v>456</v>
      </c>
      <c r="G187" s="8" t="s">
        <v>542</v>
      </c>
    </row>
    <row r="188" spans="1:7" ht="28" customHeight="1">
      <c r="A188" s="6">
        <v>143</v>
      </c>
      <c r="B188" s="6" t="s">
        <v>447</v>
      </c>
      <c r="C188" s="7" t="s">
        <v>448</v>
      </c>
      <c r="D188" s="6" t="s">
        <v>592</v>
      </c>
      <c r="E188" s="6" t="s">
        <v>462</v>
      </c>
      <c r="F188" s="6" t="s">
        <v>455</v>
      </c>
      <c r="G188" s="6" t="s">
        <v>452</v>
      </c>
    </row>
    <row r="189" spans="1:7" ht="28" customHeight="1">
      <c r="A189" s="8">
        <v>144</v>
      </c>
      <c r="B189" s="8" t="s">
        <v>447</v>
      </c>
      <c r="C189" s="9" t="s">
        <v>448</v>
      </c>
      <c r="D189" s="8" t="s">
        <v>169</v>
      </c>
      <c r="E189" s="8" t="s">
        <v>485</v>
      </c>
      <c r="F189" s="8" t="s">
        <v>456</v>
      </c>
      <c r="G189" s="8" t="s">
        <v>542</v>
      </c>
    </row>
    <row r="190" spans="1:7" ht="28" customHeight="1">
      <c r="A190" s="8">
        <v>144</v>
      </c>
      <c r="B190" s="8" t="s">
        <v>447</v>
      </c>
      <c r="C190" s="9" t="s">
        <v>448</v>
      </c>
      <c r="D190" s="8" t="s">
        <v>593</v>
      </c>
      <c r="E190" s="8" t="s">
        <v>481</v>
      </c>
      <c r="F190" s="8" t="s">
        <v>456</v>
      </c>
      <c r="G190" s="8" t="s">
        <v>542</v>
      </c>
    </row>
    <row r="191" spans="1:7" ht="28" customHeight="1">
      <c r="A191" s="6">
        <v>145</v>
      </c>
      <c r="B191" s="6" t="s">
        <v>447</v>
      </c>
      <c r="C191" s="7" t="s">
        <v>448</v>
      </c>
      <c r="D191" s="6" t="s">
        <v>594</v>
      </c>
      <c r="E191" s="6" t="s">
        <v>471</v>
      </c>
      <c r="F191" s="6" t="s">
        <v>456</v>
      </c>
      <c r="G191" s="6" t="s">
        <v>542</v>
      </c>
    </row>
    <row r="192" spans="1:7" ht="28" customHeight="1">
      <c r="A192" s="6">
        <v>145</v>
      </c>
      <c r="B192" s="6" t="s">
        <v>447</v>
      </c>
      <c r="C192" s="7" t="s">
        <v>448</v>
      </c>
      <c r="D192" s="6" t="s">
        <v>595</v>
      </c>
      <c r="E192" s="6" t="s">
        <v>515</v>
      </c>
      <c r="F192" s="6" t="s">
        <v>456</v>
      </c>
      <c r="G192" s="6" t="s">
        <v>542</v>
      </c>
    </row>
    <row r="193" spans="1:7" ht="28" customHeight="1">
      <c r="A193" s="8">
        <v>146</v>
      </c>
      <c r="B193" s="8" t="s">
        <v>447</v>
      </c>
      <c r="C193" s="9" t="s">
        <v>448</v>
      </c>
      <c r="D193" s="8" t="s">
        <v>596</v>
      </c>
      <c r="E193" s="8" t="s">
        <v>454</v>
      </c>
      <c r="F193" s="8" t="s">
        <v>456</v>
      </c>
      <c r="G193" s="8" t="s">
        <v>542</v>
      </c>
    </row>
    <row r="194" spans="1:7" ht="28" customHeight="1">
      <c r="A194" s="8">
        <v>146</v>
      </c>
      <c r="B194" s="8" t="s">
        <v>447</v>
      </c>
      <c r="C194" s="9" t="s">
        <v>448</v>
      </c>
      <c r="D194" s="8" t="s">
        <v>597</v>
      </c>
      <c r="E194" s="8" t="s">
        <v>465</v>
      </c>
      <c r="F194" s="8" t="s">
        <v>456</v>
      </c>
      <c r="G194" s="8" t="s">
        <v>542</v>
      </c>
    </row>
    <row r="195" spans="1:7" ht="28" customHeight="1">
      <c r="A195" s="6">
        <v>147</v>
      </c>
      <c r="B195" s="6" t="s">
        <v>447</v>
      </c>
      <c r="C195" s="7" t="s">
        <v>448</v>
      </c>
      <c r="D195" s="6" t="s">
        <v>598</v>
      </c>
      <c r="E195" s="6" t="s">
        <v>561</v>
      </c>
      <c r="F195" s="6" t="s">
        <v>455</v>
      </c>
      <c r="G195" s="6" t="s">
        <v>452</v>
      </c>
    </row>
    <row r="196" spans="1:7" ht="28" customHeight="1">
      <c r="A196" s="8">
        <v>148</v>
      </c>
      <c r="B196" s="8" t="s">
        <v>447</v>
      </c>
      <c r="C196" s="9" t="s">
        <v>448</v>
      </c>
      <c r="D196" s="8" t="s">
        <v>599</v>
      </c>
      <c r="E196" s="8" t="s">
        <v>561</v>
      </c>
      <c r="F196" s="8" t="s">
        <v>455</v>
      </c>
      <c r="G196" s="8" t="s">
        <v>452</v>
      </c>
    </row>
    <row r="197" spans="1:7" ht="28" customHeight="1">
      <c r="A197" s="6">
        <v>149</v>
      </c>
      <c r="B197" s="6" t="s">
        <v>447</v>
      </c>
      <c r="C197" s="7" t="s">
        <v>448</v>
      </c>
      <c r="D197" s="6" t="s">
        <v>600</v>
      </c>
      <c r="E197" s="6" t="s">
        <v>561</v>
      </c>
      <c r="F197" s="6" t="s">
        <v>456</v>
      </c>
      <c r="G197" s="6" t="s">
        <v>452</v>
      </c>
    </row>
    <row r="198" spans="1:7" ht="28" customHeight="1">
      <c r="A198" s="8">
        <v>150</v>
      </c>
      <c r="B198" s="8" t="s">
        <v>447</v>
      </c>
      <c r="C198" s="9" t="s">
        <v>448</v>
      </c>
      <c r="D198" s="8" t="s">
        <v>601</v>
      </c>
      <c r="E198" s="8" t="s">
        <v>481</v>
      </c>
      <c r="F198" s="8" t="s">
        <v>455</v>
      </c>
      <c r="G198" s="8" t="s">
        <v>542</v>
      </c>
    </row>
    <row r="199" spans="1:7" ht="28" customHeight="1">
      <c r="A199" s="6">
        <v>151</v>
      </c>
      <c r="B199" s="6" t="s">
        <v>447</v>
      </c>
      <c r="C199" s="7" t="s">
        <v>448</v>
      </c>
      <c r="D199" s="6" t="s">
        <v>602</v>
      </c>
      <c r="E199" s="6" t="s">
        <v>481</v>
      </c>
      <c r="F199" s="6" t="s">
        <v>455</v>
      </c>
      <c r="G199" s="6" t="s">
        <v>542</v>
      </c>
    </row>
    <row r="200" spans="1:7" ht="28" customHeight="1">
      <c r="A200" s="8">
        <v>152</v>
      </c>
      <c r="B200" s="8" t="s">
        <v>603</v>
      </c>
      <c r="C200" s="9" t="s">
        <v>604</v>
      </c>
      <c r="D200" s="8" t="s">
        <v>172</v>
      </c>
      <c r="E200" s="8" t="s">
        <v>450</v>
      </c>
      <c r="F200" s="8" t="s">
        <v>455</v>
      </c>
      <c r="G200" s="8" t="s">
        <v>452</v>
      </c>
    </row>
    <row r="201" spans="1:7" ht="28" customHeight="1">
      <c r="A201" s="6">
        <v>153</v>
      </c>
      <c r="B201" s="6" t="s">
        <v>603</v>
      </c>
      <c r="C201" s="7" t="s">
        <v>604</v>
      </c>
      <c r="D201" s="6" t="s">
        <v>605</v>
      </c>
      <c r="E201" s="6" t="s">
        <v>450</v>
      </c>
      <c r="F201" s="6" t="s">
        <v>455</v>
      </c>
      <c r="G201" s="6" t="s">
        <v>452</v>
      </c>
    </row>
    <row r="202" spans="1:7" ht="28" customHeight="1">
      <c r="A202" s="8">
        <v>154</v>
      </c>
      <c r="B202" s="8" t="s">
        <v>603</v>
      </c>
      <c r="C202" s="9" t="s">
        <v>604</v>
      </c>
      <c r="D202" s="8" t="s">
        <v>177</v>
      </c>
      <c r="E202" s="8" t="s">
        <v>450</v>
      </c>
      <c r="F202" s="8" t="s">
        <v>455</v>
      </c>
      <c r="G202" s="8" t="s">
        <v>452</v>
      </c>
    </row>
    <row r="203" spans="1:7" ht="28" customHeight="1">
      <c r="A203" s="6">
        <v>155</v>
      </c>
      <c r="B203" s="6" t="s">
        <v>603</v>
      </c>
      <c r="C203" s="7" t="s">
        <v>604</v>
      </c>
      <c r="D203" s="6" t="s">
        <v>180</v>
      </c>
      <c r="E203" s="6" t="s">
        <v>454</v>
      </c>
      <c r="F203" s="6" t="s">
        <v>455</v>
      </c>
      <c r="G203" s="6" t="s">
        <v>452</v>
      </c>
    </row>
    <row r="204" spans="1:7" ht="28" customHeight="1">
      <c r="A204" s="8">
        <v>156</v>
      </c>
      <c r="B204" s="8" t="s">
        <v>603</v>
      </c>
      <c r="C204" s="9" t="s">
        <v>604</v>
      </c>
      <c r="D204" s="8" t="s">
        <v>182</v>
      </c>
      <c r="E204" s="8" t="s">
        <v>454</v>
      </c>
      <c r="F204" s="8" t="s">
        <v>455</v>
      </c>
      <c r="G204" s="8" t="s">
        <v>452</v>
      </c>
    </row>
    <row r="205" spans="1:7" ht="28" customHeight="1">
      <c r="A205" s="6">
        <v>157</v>
      </c>
      <c r="B205" s="6" t="s">
        <v>603</v>
      </c>
      <c r="C205" s="7" t="s">
        <v>604</v>
      </c>
      <c r="D205" s="6" t="s">
        <v>184</v>
      </c>
      <c r="E205" s="6" t="s">
        <v>454</v>
      </c>
      <c r="F205" s="6" t="s">
        <v>455</v>
      </c>
      <c r="G205" s="6" t="s">
        <v>452</v>
      </c>
    </row>
    <row r="206" spans="1:7" ht="28" customHeight="1">
      <c r="A206" s="6">
        <v>157</v>
      </c>
      <c r="B206" s="6" t="s">
        <v>603</v>
      </c>
      <c r="C206" s="7" t="s">
        <v>604</v>
      </c>
      <c r="D206" s="6" t="s">
        <v>606</v>
      </c>
      <c r="E206" s="6" t="s">
        <v>454</v>
      </c>
      <c r="F206" s="6" t="s">
        <v>552</v>
      </c>
      <c r="G206" s="6" t="s">
        <v>452</v>
      </c>
    </row>
    <row r="207" spans="1:7" ht="28" customHeight="1">
      <c r="A207" s="8">
        <v>158</v>
      </c>
      <c r="B207" s="8" t="s">
        <v>603</v>
      </c>
      <c r="C207" s="9" t="s">
        <v>604</v>
      </c>
      <c r="D207" s="8" t="s">
        <v>186</v>
      </c>
      <c r="E207" s="8" t="s">
        <v>457</v>
      </c>
      <c r="F207" s="8" t="s">
        <v>455</v>
      </c>
      <c r="G207" s="8" t="s">
        <v>452</v>
      </c>
    </row>
    <row r="208" spans="1:7" ht="28" customHeight="1">
      <c r="A208" s="6">
        <v>159</v>
      </c>
      <c r="B208" s="6" t="s">
        <v>603</v>
      </c>
      <c r="C208" s="7" t="s">
        <v>604</v>
      </c>
      <c r="D208" s="6" t="s">
        <v>607</v>
      </c>
      <c r="E208" s="6" t="s">
        <v>457</v>
      </c>
      <c r="F208" s="6" t="s">
        <v>455</v>
      </c>
      <c r="G208" s="6" t="s">
        <v>452</v>
      </c>
    </row>
    <row r="209" spans="1:7" ht="28" customHeight="1">
      <c r="A209" s="8">
        <v>160</v>
      </c>
      <c r="B209" s="8" t="s">
        <v>603</v>
      </c>
      <c r="C209" s="9" t="s">
        <v>604</v>
      </c>
      <c r="D209" s="8" t="s">
        <v>188</v>
      </c>
      <c r="E209" s="8" t="s">
        <v>457</v>
      </c>
      <c r="F209" s="8" t="s">
        <v>455</v>
      </c>
      <c r="G209" s="8" t="s">
        <v>452</v>
      </c>
    </row>
    <row r="210" spans="1:7" ht="28" customHeight="1">
      <c r="A210" s="6">
        <v>161</v>
      </c>
      <c r="B210" s="6" t="s">
        <v>603</v>
      </c>
      <c r="C210" s="7" t="s">
        <v>604</v>
      </c>
      <c r="D210" s="6" t="s">
        <v>191</v>
      </c>
      <c r="E210" s="6" t="s">
        <v>462</v>
      </c>
      <c r="F210" s="6" t="s">
        <v>455</v>
      </c>
      <c r="G210" s="6" t="s">
        <v>452</v>
      </c>
    </row>
    <row r="211" spans="1:7" ht="28" customHeight="1">
      <c r="A211" s="8">
        <v>162</v>
      </c>
      <c r="B211" s="8" t="s">
        <v>603</v>
      </c>
      <c r="C211" s="9" t="s">
        <v>604</v>
      </c>
      <c r="D211" s="8" t="s">
        <v>608</v>
      </c>
      <c r="E211" s="8" t="s">
        <v>462</v>
      </c>
      <c r="F211" s="8" t="s">
        <v>455</v>
      </c>
      <c r="G211" s="8" t="s">
        <v>452</v>
      </c>
    </row>
    <row r="212" spans="1:7" ht="28" customHeight="1">
      <c r="A212" s="6">
        <v>163</v>
      </c>
      <c r="B212" s="6" t="s">
        <v>603</v>
      </c>
      <c r="C212" s="7" t="s">
        <v>604</v>
      </c>
      <c r="D212" s="6" t="s">
        <v>192</v>
      </c>
      <c r="E212" s="6" t="s">
        <v>462</v>
      </c>
      <c r="F212" s="6" t="s">
        <v>456</v>
      </c>
      <c r="G212" s="6" t="s">
        <v>452</v>
      </c>
    </row>
    <row r="213" spans="1:7" ht="28" customHeight="1">
      <c r="A213" s="8">
        <v>164</v>
      </c>
      <c r="B213" s="8" t="s">
        <v>603</v>
      </c>
      <c r="C213" s="9" t="s">
        <v>604</v>
      </c>
      <c r="D213" s="8" t="s">
        <v>609</v>
      </c>
      <c r="E213" s="8" t="s">
        <v>462</v>
      </c>
      <c r="F213" s="8" t="s">
        <v>456</v>
      </c>
      <c r="G213" s="8" t="s">
        <v>452</v>
      </c>
    </row>
    <row r="214" spans="1:7" ht="28" customHeight="1">
      <c r="A214" s="6">
        <v>165</v>
      </c>
      <c r="B214" s="6" t="s">
        <v>603</v>
      </c>
      <c r="C214" s="7" t="s">
        <v>604</v>
      </c>
      <c r="D214" s="6" t="s">
        <v>1724</v>
      </c>
      <c r="E214" s="6" t="s">
        <v>460</v>
      </c>
      <c r="F214" s="6" t="s">
        <v>456</v>
      </c>
      <c r="G214" s="6" t="s">
        <v>452</v>
      </c>
    </row>
    <row r="215" spans="1:7" ht="28" customHeight="1">
      <c r="A215" s="8">
        <v>166</v>
      </c>
      <c r="B215" s="8" t="s">
        <v>603</v>
      </c>
      <c r="C215" s="9" t="s">
        <v>604</v>
      </c>
      <c r="D215" s="8" t="s">
        <v>1726</v>
      </c>
      <c r="E215" s="8" t="s">
        <v>460</v>
      </c>
      <c r="F215" s="8" t="s">
        <v>456</v>
      </c>
      <c r="G215" s="8" t="s">
        <v>452</v>
      </c>
    </row>
    <row r="216" spans="1:7" ht="28" customHeight="1">
      <c r="A216" s="6">
        <v>167</v>
      </c>
      <c r="B216" s="6" t="s">
        <v>603</v>
      </c>
      <c r="C216" s="7" t="s">
        <v>604</v>
      </c>
      <c r="D216" s="6" t="s">
        <v>610</v>
      </c>
      <c r="E216" s="6" t="s">
        <v>460</v>
      </c>
      <c r="F216" s="6" t="s">
        <v>451</v>
      </c>
      <c r="G216" s="6" t="s">
        <v>452</v>
      </c>
    </row>
    <row r="217" spans="1:7" ht="28" customHeight="1">
      <c r="A217" s="8">
        <v>168</v>
      </c>
      <c r="B217" s="8" t="s">
        <v>603</v>
      </c>
      <c r="C217" s="9" t="s">
        <v>604</v>
      </c>
      <c r="D217" s="8" t="s">
        <v>611</v>
      </c>
      <c r="E217" s="8" t="s">
        <v>460</v>
      </c>
      <c r="F217" s="8" t="s">
        <v>451</v>
      </c>
      <c r="G217" s="8" t="s">
        <v>452</v>
      </c>
    </row>
    <row r="218" spans="1:7" ht="28" customHeight="1">
      <c r="A218" s="6">
        <v>169</v>
      </c>
      <c r="B218" s="6" t="s">
        <v>603</v>
      </c>
      <c r="C218" s="7" t="s">
        <v>604</v>
      </c>
      <c r="D218" s="6" t="s">
        <v>612</v>
      </c>
      <c r="E218" s="6" t="s">
        <v>451</v>
      </c>
      <c r="F218" s="6" t="s">
        <v>456</v>
      </c>
      <c r="G218" s="6" t="s">
        <v>452</v>
      </c>
    </row>
    <row r="219" spans="1:7" ht="28" customHeight="1">
      <c r="A219" s="8">
        <v>170</v>
      </c>
      <c r="B219" s="8" t="s">
        <v>603</v>
      </c>
      <c r="C219" s="9" t="s">
        <v>604</v>
      </c>
      <c r="D219" s="8" t="s">
        <v>613</v>
      </c>
      <c r="E219" s="8" t="s">
        <v>457</v>
      </c>
      <c r="F219" s="8" t="s">
        <v>471</v>
      </c>
      <c r="G219" s="8" t="s">
        <v>452</v>
      </c>
    </row>
    <row r="220" spans="1:7" ht="28" customHeight="1">
      <c r="A220" s="6">
        <v>171</v>
      </c>
      <c r="B220" s="6" t="s">
        <v>603</v>
      </c>
      <c r="C220" s="7" t="s">
        <v>604</v>
      </c>
      <c r="D220" s="6" t="s">
        <v>614</v>
      </c>
      <c r="E220" s="6" t="s">
        <v>457</v>
      </c>
      <c r="F220" s="6" t="s">
        <v>471</v>
      </c>
      <c r="G220" s="6" t="s">
        <v>452</v>
      </c>
    </row>
    <row r="221" spans="1:7" ht="28" customHeight="1">
      <c r="A221" s="8">
        <v>172</v>
      </c>
      <c r="B221" s="8" t="s">
        <v>603</v>
      </c>
      <c r="C221" s="9" t="s">
        <v>604</v>
      </c>
      <c r="D221" s="8" t="s">
        <v>615</v>
      </c>
      <c r="E221" s="8" t="s">
        <v>471</v>
      </c>
      <c r="F221" s="8" t="s">
        <v>455</v>
      </c>
      <c r="G221" s="8" t="s">
        <v>452</v>
      </c>
    </row>
    <row r="222" spans="1:7" ht="28" customHeight="1">
      <c r="A222" s="6">
        <v>173</v>
      </c>
      <c r="B222" s="6" t="s">
        <v>603</v>
      </c>
      <c r="C222" s="7" t="s">
        <v>604</v>
      </c>
      <c r="D222" s="6" t="s">
        <v>616</v>
      </c>
      <c r="E222" s="6" t="s">
        <v>494</v>
      </c>
      <c r="F222" s="6" t="s">
        <v>455</v>
      </c>
      <c r="G222" s="6" t="s">
        <v>452</v>
      </c>
    </row>
    <row r="223" spans="1:7" ht="28" customHeight="1">
      <c r="A223" s="8">
        <v>174</v>
      </c>
      <c r="B223" s="8" t="s">
        <v>603</v>
      </c>
      <c r="C223" s="9" t="s">
        <v>604</v>
      </c>
      <c r="D223" s="8" t="s">
        <v>617</v>
      </c>
      <c r="E223" s="8" t="s">
        <v>462</v>
      </c>
      <c r="F223" s="8" t="s">
        <v>494</v>
      </c>
      <c r="G223" s="8" t="s">
        <v>452</v>
      </c>
    </row>
    <row r="224" spans="1:7" ht="28" customHeight="1">
      <c r="A224" s="6">
        <v>175</v>
      </c>
      <c r="B224" s="6" t="s">
        <v>603</v>
      </c>
      <c r="C224" s="7" t="s">
        <v>604</v>
      </c>
      <c r="D224" s="6" t="s">
        <v>195</v>
      </c>
      <c r="E224" s="6" t="s">
        <v>494</v>
      </c>
      <c r="F224" s="6" t="s">
        <v>455</v>
      </c>
      <c r="G224" s="6" t="s">
        <v>452</v>
      </c>
    </row>
    <row r="225" spans="1:7" ht="28" customHeight="1">
      <c r="A225" s="8">
        <v>176</v>
      </c>
      <c r="B225" s="8" t="s">
        <v>603</v>
      </c>
      <c r="C225" s="9" t="s">
        <v>604</v>
      </c>
      <c r="D225" s="8" t="s">
        <v>618</v>
      </c>
      <c r="E225" s="8" t="s">
        <v>494</v>
      </c>
      <c r="F225" s="8" t="s">
        <v>456</v>
      </c>
      <c r="G225" s="8" t="s">
        <v>452</v>
      </c>
    </row>
    <row r="226" spans="1:7" ht="28" customHeight="1">
      <c r="A226" s="6">
        <v>177</v>
      </c>
      <c r="B226" s="6" t="s">
        <v>603</v>
      </c>
      <c r="C226" s="7" t="s">
        <v>604</v>
      </c>
      <c r="D226" s="6" t="s">
        <v>619</v>
      </c>
      <c r="E226" s="6" t="s">
        <v>481</v>
      </c>
      <c r="F226" s="6" t="s">
        <v>456</v>
      </c>
      <c r="G226" s="6" t="s">
        <v>452</v>
      </c>
    </row>
    <row r="227" spans="1:7" ht="28" customHeight="1">
      <c r="A227" s="8">
        <v>178</v>
      </c>
      <c r="B227" s="8" t="s">
        <v>603</v>
      </c>
      <c r="C227" s="9" t="s">
        <v>604</v>
      </c>
      <c r="D227" s="8" t="s">
        <v>1739</v>
      </c>
      <c r="E227" s="8" t="s">
        <v>481</v>
      </c>
      <c r="F227" s="8" t="s">
        <v>456</v>
      </c>
      <c r="G227" s="8" t="s">
        <v>452</v>
      </c>
    </row>
    <row r="228" spans="1:7" ht="28" customHeight="1">
      <c r="A228" s="6">
        <v>179</v>
      </c>
      <c r="B228" s="6" t="s">
        <v>603</v>
      </c>
      <c r="C228" s="7" t="s">
        <v>604</v>
      </c>
      <c r="D228" s="6" t="s">
        <v>620</v>
      </c>
      <c r="E228" s="6" t="s">
        <v>471</v>
      </c>
      <c r="F228" s="6" t="s">
        <v>455</v>
      </c>
      <c r="G228" s="6" t="s">
        <v>452</v>
      </c>
    </row>
    <row r="229" spans="1:7" ht="28" customHeight="1">
      <c r="A229" s="8">
        <v>180</v>
      </c>
      <c r="B229" s="8" t="s">
        <v>603</v>
      </c>
      <c r="C229" s="9" t="s">
        <v>604</v>
      </c>
      <c r="D229" s="8" t="s">
        <v>621</v>
      </c>
      <c r="E229" s="8" t="s">
        <v>471</v>
      </c>
      <c r="F229" s="8" t="s">
        <v>455</v>
      </c>
      <c r="G229" s="8" t="s">
        <v>452</v>
      </c>
    </row>
    <row r="230" spans="1:7" ht="28" customHeight="1">
      <c r="A230" s="6">
        <v>181</v>
      </c>
      <c r="B230" s="6" t="s">
        <v>603</v>
      </c>
      <c r="C230" s="7" t="s">
        <v>604</v>
      </c>
      <c r="D230" s="6" t="s">
        <v>199</v>
      </c>
      <c r="E230" s="6" t="s">
        <v>471</v>
      </c>
      <c r="F230" s="6" t="s">
        <v>455</v>
      </c>
      <c r="G230" s="6" t="s">
        <v>452</v>
      </c>
    </row>
    <row r="231" spans="1:7" ht="28" customHeight="1">
      <c r="A231" s="8">
        <v>182</v>
      </c>
      <c r="B231" s="8" t="s">
        <v>603</v>
      </c>
      <c r="C231" s="9" t="s">
        <v>604</v>
      </c>
      <c r="D231" s="8" t="s">
        <v>204</v>
      </c>
      <c r="E231" s="8" t="s">
        <v>450</v>
      </c>
      <c r="F231" s="8" t="s">
        <v>455</v>
      </c>
      <c r="G231" s="8" t="s">
        <v>452</v>
      </c>
    </row>
    <row r="232" spans="1:7" ht="28" customHeight="1">
      <c r="A232" s="6">
        <v>183</v>
      </c>
      <c r="B232" s="6" t="s">
        <v>603</v>
      </c>
      <c r="C232" s="7" t="s">
        <v>604</v>
      </c>
      <c r="D232" s="6" t="s">
        <v>207</v>
      </c>
      <c r="E232" s="6" t="s">
        <v>457</v>
      </c>
      <c r="F232" s="6" t="s">
        <v>494</v>
      </c>
      <c r="G232" s="6" t="s">
        <v>452</v>
      </c>
    </row>
    <row r="233" spans="1:7" ht="28" customHeight="1">
      <c r="A233" s="8">
        <v>184</v>
      </c>
      <c r="B233" s="8" t="s">
        <v>603</v>
      </c>
      <c r="C233" s="9" t="s">
        <v>604</v>
      </c>
      <c r="D233" s="8" t="s">
        <v>622</v>
      </c>
      <c r="E233" s="8" t="s">
        <v>457</v>
      </c>
      <c r="F233" s="8" t="s">
        <v>494</v>
      </c>
      <c r="G233" s="8" t="s">
        <v>452</v>
      </c>
    </row>
    <row r="234" spans="1:7" ht="28" customHeight="1">
      <c r="A234" s="6">
        <v>185</v>
      </c>
      <c r="B234" s="6" t="s">
        <v>603</v>
      </c>
      <c r="C234" s="7" t="s">
        <v>604</v>
      </c>
      <c r="D234" s="6" t="s">
        <v>209</v>
      </c>
      <c r="E234" s="6" t="s">
        <v>519</v>
      </c>
      <c r="F234" s="6" t="s">
        <v>455</v>
      </c>
      <c r="G234" s="6" t="s">
        <v>452</v>
      </c>
    </row>
    <row r="235" spans="1:7" ht="28" customHeight="1">
      <c r="A235" s="8">
        <v>186</v>
      </c>
      <c r="B235" s="8" t="s">
        <v>603</v>
      </c>
      <c r="C235" s="9" t="s">
        <v>604</v>
      </c>
      <c r="D235" s="8" t="s">
        <v>1748</v>
      </c>
      <c r="E235" s="8" t="s">
        <v>457</v>
      </c>
      <c r="F235" s="8" t="s">
        <v>455</v>
      </c>
      <c r="G235" s="8" t="s">
        <v>452</v>
      </c>
    </row>
    <row r="236" spans="1:7" ht="28" customHeight="1">
      <c r="A236" s="6">
        <v>187</v>
      </c>
      <c r="B236" s="6" t="s">
        <v>603</v>
      </c>
      <c r="C236" s="7" t="s">
        <v>604</v>
      </c>
      <c r="D236" s="6" t="s">
        <v>623</v>
      </c>
      <c r="E236" s="6" t="s">
        <v>450</v>
      </c>
      <c r="F236" s="6" t="s">
        <v>456</v>
      </c>
      <c r="G236" s="6" t="s">
        <v>452</v>
      </c>
    </row>
    <row r="237" spans="1:7" ht="28" customHeight="1">
      <c r="A237" s="8">
        <v>188</v>
      </c>
      <c r="B237" s="8" t="s">
        <v>603</v>
      </c>
      <c r="C237" s="9" t="s">
        <v>604</v>
      </c>
      <c r="D237" s="8" t="s">
        <v>624</v>
      </c>
      <c r="E237" s="8" t="s">
        <v>450</v>
      </c>
      <c r="F237" s="8" t="s">
        <v>456</v>
      </c>
      <c r="G237" s="8" t="s">
        <v>452</v>
      </c>
    </row>
    <row r="238" spans="1:7" ht="28" customHeight="1">
      <c r="A238" s="6">
        <v>189</v>
      </c>
      <c r="B238" s="6" t="s">
        <v>603</v>
      </c>
      <c r="C238" s="7" t="s">
        <v>604</v>
      </c>
      <c r="D238" s="6" t="s">
        <v>625</v>
      </c>
      <c r="E238" s="6" t="s">
        <v>450</v>
      </c>
      <c r="F238" s="6" t="s">
        <v>456</v>
      </c>
      <c r="G238" s="6" t="s">
        <v>452</v>
      </c>
    </row>
    <row r="239" spans="1:7" ht="28" customHeight="1">
      <c r="A239" s="8">
        <v>190</v>
      </c>
      <c r="B239" s="8" t="s">
        <v>603</v>
      </c>
      <c r="C239" s="9" t="s">
        <v>604</v>
      </c>
      <c r="D239" s="8" t="s">
        <v>1753</v>
      </c>
      <c r="E239" s="8" t="s">
        <v>462</v>
      </c>
      <c r="F239" s="8" t="s">
        <v>455</v>
      </c>
      <c r="G239" s="8" t="s">
        <v>452</v>
      </c>
    </row>
    <row r="240" spans="1:7" ht="28" customHeight="1">
      <c r="A240" s="6">
        <v>191</v>
      </c>
      <c r="B240" s="6" t="s">
        <v>603</v>
      </c>
      <c r="C240" s="7" t="s">
        <v>604</v>
      </c>
      <c r="D240" s="6" t="s">
        <v>626</v>
      </c>
      <c r="E240" s="6" t="s">
        <v>450</v>
      </c>
      <c r="F240" s="6" t="s">
        <v>455</v>
      </c>
      <c r="G240" s="6" t="s">
        <v>452</v>
      </c>
    </row>
    <row r="241" spans="1:7" ht="28" customHeight="1">
      <c r="A241" s="8">
        <v>192</v>
      </c>
      <c r="B241" s="8" t="s">
        <v>603</v>
      </c>
      <c r="C241" s="9" t="s">
        <v>604</v>
      </c>
      <c r="D241" s="8" t="s">
        <v>211</v>
      </c>
      <c r="E241" s="8" t="s">
        <v>450</v>
      </c>
      <c r="F241" s="8" t="s">
        <v>455</v>
      </c>
      <c r="G241" s="8" t="s">
        <v>452</v>
      </c>
    </row>
    <row r="242" spans="1:7" ht="28" customHeight="1">
      <c r="A242" s="6">
        <v>193</v>
      </c>
      <c r="B242" s="6" t="s">
        <v>603</v>
      </c>
      <c r="C242" s="7" t="s">
        <v>604</v>
      </c>
      <c r="D242" s="6" t="s">
        <v>214</v>
      </c>
      <c r="E242" s="6" t="s">
        <v>460</v>
      </c>
      <c r="F242" s="6" t="s">
        <v>456</v>
      </c>
      <c r="G242" s="6" t="s">
        <v>452</v>
      </c>
    </row>
    <row r="243" spans="1:7" ht="28" customHeight="1">
      <c r="A243" s="8">
        <v>194</v>
      </c>
      <c r="B243" s="8" t="s">
        <v>603</v>
      </c>
      <c r="C243" s="9" t="s">
        <v>604</v>
      </c>
      <c r="D243" s="8" t="s">
        <v>216</v>
      </c>
      <c r="E243" s="8" t="s">
        <v>457</v>
      </c>
      <c r="F243" s="8" t="s">
        <v>483</v>
      </c>
      <c r="G243" s="8" t="s">
        <v>452</v>
      </c>
    </row>
    <row r="244" spans="1:7" ht="28" customHeight="1">
      <c r="A244" s="8">
        <v>194</v>
      </c>
      <c r="B244" s="8" t="s">
        <v>603</v>
      </c>
      <c r="C244" s="9" t="s">
        <v>604</v>
      </c>
      <c r="D244" s="8" t="s">
        <v>627</v>
      </c>
      <c r="E244" s="8" t="s">
        <v>451</v>
      </c>
      <c r="F244" s="8" t="s">
        <v>483</v>
      </c>
      <c r="G244" s="8" t="s">
        <v>452</v>
      </c>
    </row>
    <row r="245" spans="1:7" ht="28" customHeight="1">
      <c r="A245" s="6">
        <v>195</v>
      </c>
      <c r="B245" s="6" t="s">
        <v>603</v>
      </c>
      <c r="C245" s="7" t="s">
        <v>604</v>
      </c>
      <c r="D245" s="6" t="s">
        <v>1759</v>
      </c>
      <c r="E245" s="6" t="s">
        <v>457</v>
      </c>
      <c r="F245" s="6" t="s">
        <v>483</v>
      </c>
      <c r="G245" s="6" t="s">
        <v>452</v>
      </c>
    </row>
    <row r="246" spans="1:7" ht="28" customHeight="1">
      <c r="A246" s="8">
        <v>196</v>
      </c>
      <c r="B246" s="8" t="s">
        <v>603</v>
      </c>
      <c r="C246" s="9" t="s">
        <v>604</v>
      </c>
      <c r="D246" s="8" t="s">
        <v>628</v>
      </c>
      <c r="E246" s="8" t="s">
        <v>481</v>
      </c>
      <c r="F246" s="8" t="s">
        <v>455</v>
      </c>
      <c r="G246" s="8" t="s">
        <v>452</v>
      </c>
    </row>
    <row r="247" spans="1:7" ht="28" customHeight="1">
      <c r="A247" s="6">
        <v>197</v>
      </c>
      <c r="B247" s="6" t="s">
        <v>603</v>
      </c>
      <c r="C247" s="7" t="s">
        <v>604</v>
      </c>
      <c r="D247" s="6" t="s">
        <v>629</v>
      </c>
      <c r="E247" s="6" t="s">
        <v>465</v>
      </c>
      <c r="F247" s="6" t="s">
        <v>455</v>
      </c>
      <c r="G247" s="6" t="s">
        <v>452</v>
      </c>
    </row>
    <row r="248" spans="1:7" ht="28" customHeight="1">
      <c r="A248" s="8">
        <v>198</v>
      </c>
      <c r="B248" s="8" t="s">
        <v>603</v>
      </c>
      <c r="C248" s="9" t="s">
        <v>604</v>
      </c>
      <c r="D248" s="8" t="s">
        <v>1763</v>
      </c>
      <c r="E248" s="8" t="s">
        <v>465</v>
      </c>
      <c r="F248" s="8" t="s">
        <v>456</v>
      </c>
      <c r="G248" s="8" t="s">
        <v>452</v>
      </c>
    </row>
    <row r="249" spans="1:7" ht="28" customHeight="1">
      <c r="A249" s="6">
        <v>199</v>
      </c>
      <c r="B249" s="6" t="s">
        <v>603</v>
      </c>
      <c r="C249" s="7" t="s">
        <v>604</v>
      </c>
      <c r="D249" s="6" t="s">
        <v>630</v>
      </c>
      <c r="E249" s="6" t="s">
        <v>457</v>
      </c>
      <c r="F249" s="6" t="s">
        <v>481</v>
      </c>
      <c r="G249" s="6" t="s">
        <v>452</v>
      </c>
    </row>
    <row r="250" spans="1:7" ht="28" customHeight="1">
      <c r="A250" s="6">
        <v>199</v>
      </c>
      <c r="B250" s="6" t="s">
        <v>603</v>
      </c>
      <c r="C250" s="7" t="s">
        <v>604</v>
      </c>
      <c r="D250" s="6" t="s">
        <v>631</v>
      </c>
      <c r="E250" s="6" t="s">
        <v>451</v>
      </c>
      <c r="F250" s="6" t="s">
        <v>481</v>
      </c>
      <c r="G250" s="6" t="s">
        <v>452</v>
      </c>
    </row>
    <row r="251" spans="1:7" ht="28" customHeight="1">
      <c r="A251" s="8">
        <v>200</v>
      </c>
      <c r="B251" s="8" t="s">
        <v>603</v>
      </c>
      <c r="C251" s="9" t="s">
        <v>604</v>
      </c>
      <c r="D251" s="8" t="s">
        <v>632</v>
      </c>
      <c r="E251" s="8" t="s">
        <v>552</v>
      </c>
      <c r="F251" s="8" t="s">
        <v>455</v>
      </c>
      <c r="G251" s="8" t="s">
        <v>452</v>
      </c>
    </row>
    <row r="252" spans="1:7" ht="28" customHeight="1">
      <c r="A252" s="6">
        <v>201</v>
      </c>
      <c r="B252" s="6" t="s">
        <v>603</v>
      </c>
      <c r="C252" s="7" t="s">
        <v>604</v>
      </c>
      <c r="D252" s="6" t="s">
        <v>218</v>
      </c>
      <c r="E252" s="6" t="s">
        <v>481</v>
      </c>
      <c r="F252" s="6" t="s">
        <v>455</v>
      </c>
      <c r="G252" s="6" t="s">
        <v>542</v>
      </c>
    </row>
    <row r="253" spans="1:7" ht="28" customHeight="1">
      <c r="A253" s="6">
        <v>201</v>
      </c>
      <c r="B253" s="6" t="s">
        <v>603</v>
      </c>
      <c r="C253" s="7" t="s">
        <v>604</v>
      </c>
      <c r="D253" s="6" t="s">
        <v>633</v>
      </c>
      <c r="E253" s="6" t="s">
        <v>481</v>
      </c>
      <c r="F253" s="6" t="s">
        <v>455</v>
      </c>
      <c r="G253" s="6" t="s">
        <v>542</v>
      </c>
    </row>
    <row r="254" spans="1:7" ht="28" customHeight="1">
      <c r="A254" s="6">
        <v>201</v>
      </c>
      <c r="B254" s="6" t="s">
        <v>603</v>
      </c>
      <c r="C254" s="7" t="s">
        <v>604</v>
      </c>
      <c r="D254" s="6" t="s">
        <v>634</v>
      </c>
      <c r="E254" s="6" t="s">
        <v>481</v>
      </c>
      <c r="F254" s="6" t="s">
        <v>455</v>
      </c>
      <c r="G254" s="6" t="s">
        <v>542</v>
      </c>
    </row>
    <row r="255" spans="1:7" ht="28" customHeight="1">
      <c r="A255" s="6">
        <v>201</v>
      </c>
      <c r="B255" s="6" t="s">
        <v>603</v>
      </c>
      <c r="C255" s="7" t="s">
        <v>604</v>
      </c>
      <c r="D255" s="6" t="s">
        <v>635</v>
      </c>
      <c r="E255" s="6" t="s">
        <v>481</v>
      </c>
      <c r="F255" s="6" t="s">
        <v>455</v>
      </c>
      <c r="G255" s="6" t="s">
        <v>542</v>
      </c>
    </row>
    <row r="256" spans="1:7" ht="28" customHeight="1">
      <c r="A256" s="6">
        <v>201</v>
      </c>
      <c r="B256" s="6" t="s">
        <v>603</v>
      </c>
      <c r="C256" s="7" t="s">
        <v>604</v>
      </c>
      <c r="D256" s="6" t="s">
        <v>636</v>
      </c>
      <c r="E256" s="6" t="s">
        <v>481</v>
      </c>
      <c r="F256" s="6" t="s">
        <v>455</v>
      </c>
      <c r="G256" s="6" t="s">
        <v>542</v>
      </c>
    </row>
    <row r="257" spans="1:7" ht="28" customHeight="1">
      <c r="A257" s="6">
        <v>201</v>
      </c>
      <c r="B257" s="6" t="s">
        <v>603</v>
      </c>
      <c r="C257" s="7" t="s">
        <v>604</v>
      </c>
      <c r="D257" s="6" t="s">
        <v>637</v>
      </c>
      <c r="E257" s="6" t="s">
        <v>481</v>
      </c>
      <c r="F257" s="6" t="s">
        <v>455</v>
      </c>
      <c r="G257" s="6" t="s">
        <v>542</v>
      </c>
    </row>
    <row r="258" spans="1:7" ht="28" customHeight="1">
      <c r="A258" s="6">
        <v>201</v>
      </c>
      <c r="B258" s="6" t="s">
        <v>603</v>
      </c>
      <c r="C258" s="7" t="s">
        <v>604</v>
      </c>
      <c r="D258" s="6" t="s">
        <v>638</v>
      </c>
      <c r="E258" s="6" t="s">
        <v>481</v>
      </c>
      <c r="F258" s="6" t="s">
        <v>455</v>
      </c>
      <c r="G258" s="6" t="s">
        <v>542</v>
      </c>
    </row>
    <row r="259" spans="1:7" ht="28" customHeight="1">
      <c r="A259" s="6">
        <v>201</v>
      </c>
      <c r="B259" s="6" t="s">
        <v>603</v>
      </c>
      <c r="C259" s="7" t="s">
        <v>604</v>
      </c>
      <c r="D259" s="6" t="s">
        <v>639</v>
      </c>
      <c r="E259" s="6" t="s">
        <v>481</v>
      </c>
      <c r="F259" s="6" t="s">
        <v>455</v>
      </c>
      <c r="G259" s="6" t="s">
        <v>542</v>
      </c>
    </row>
    <row r="260" spans="1:7" ht="28" customHeight="1">
      <c r="A260" s="6">
        <v>201</v>
      </c>
      <c r="B260" s="6" t="s">
        <v>603</v>
      </c>
      <c r="C260" s="7" t="s">
        <v>604</v>
      </c>
      <c r="D260" s="6" t="s">
        <v>640</v>
      </c>
      <c r="E260" s="6" t="s">
        <v>481</v>
      </c>
      <c r="F260" s="6" t="s">
        <v>455</v>
      </c>
      <c r="G260" s="6" t="s">
        <v>542</v>
      </c>
    </row>
    <row r="261" spans="1:7" ht="28" customHeight="1">
      <c r="A261" s="6">
        <v>201</v>
      </c>
      <c r="B261" s="6" t="s">
        <v>603</v>
      </c>
      <c r="C261" s="7" t="s">
        <v>604</v>
      </c>
      <c r="D261" s="6" t="s">
        <v>641</v>
      </c>
      <c r="E261" s="6" t="s">
        <v>481</v>
      </c>
      <c r="F261" s="6" t="s">
        <v>455</v>
      </c>
      <c r="G261" s="6" t="s">
        <v>542</v>
      </c>
    </row>
    <row r="262" spans="1:7" ht="28" customHeight="1">
      <c r="A262" s="6">
        <v>201</v>
      </c>
      <c r="B262" s="6" t="s">
        <v>603</v>
      </c>
      <c r="C262" s="7" t="s">
        <v>604</v>
      </c>
      <c r="D262" s="6" t="s">
        <v>642</v>
      </c>
      <c r="E262" s="6" t="s">
        <v>481</v>
      </c>
      <c r="F262" s="6" t="s">
        <v>455</v>
      </c>
      <c r="G262" s="6" t="s">
        <v>542</v>
      </c>
    </row>
    <row r="263" spans="1:7" ht="28" customHeight="1">
      <c r="A263" s="6">
        <v>201</v>
      </c>
      <c r="B263" s="6" t="s">
        <v>603</v>
      </c>
      <c r="C263" s="7" t="s">
        <v>604</v>
      </c>
      <c r="D263" s="6" t="s">
        <v>643</v>
      </c>
      <c r="E263" s="6" t="s">
        <v>481</v>
      </c>
      <c r="F263" s="6" t="s">
        <v>455</v>
      </c>
      <c r="G263" s="6" t="s">
        <v>542</v>
      </c>
    </row>
    <row r="264" spans="1:7" ht="28" customHeight="1">
      <c r="A264" s="6">
        <v>201</v>
      </c>
      <c r="B264" s="6" t="s">
        <v>603</v>
      </c>
      <c r="C264" s="7" t="s">
        <v>604</v>
      </c>
      <c r="D264" s="6" t="s">
        <v>644</v>
      </c>
      <c r="E264" s="6" t="s">
        <v>481</v>
      </c>
      <c r="F264" s="6" t="s">
        <v>455</v>
      </c>
      <c r="G264" s="6" t="s">
        <v>542</v>
      </c>
    </row>
    <row r="265" spans="1:7" ht="28" customHeight="1">
      <c r="A265" s="6">
        <v>201</v>
      </c>
      <c r="B265" s="6" t="s">
        <v>603</v>
      </c>
      <c r="C265" s="7" t="s">
        <v>604</v>
      </c>
      <c r="D265" s="6" t="s">
        <v>645</v>
      </c>
      <c r="E265" s="6" t="s">
        <v>481</v>
      </c>
      <c r="F265" s="6" t="s">
        <v>455</v>
      </c>
      <c r="G265" s="6" t="s">
        <v>542</v>
      </c>
    </row>
    <row r="266" spans="1:7" ht="28" customHeight="1">
      <c r="A266" s="6">
        <v>201</v>
      </c>
      <c r="B266" s="6" t="s">
        <v>603</v>
      </c>
      <c r="C266" s="7" t="s">
        <v>604</v>
      </c>
      <c r="D266" s="6" t="s">
        <v>646</v>
      </c>
      <c r="E266" s="6" t="s">
        <v>481</v>
      </c>
      <c r="F266" s="6" t="s">
        <v>455</v>
      </c>
      <c r="G266" s="6" t="s">
        <v>542</v>
      </c>
    </row>
    <row r="267" spans="1:7" ht="28" customHeight="1">
      <c r="A267" s="6">
        <v>201</v>
      </c>
      <c r="B267" s="6" t="s">
        <v>603</v>
      </c>
      <c r="C267" s="7" t="s">
        <v>604</v>
      </c>
      <c r="D267" s="6" t="s">
        <v>647</v>
      </c>
      <c r="E267" s="6" t="s">
        <v>481</v>
      </c>
      <c r="F267" s="6" t="s">
        <v>455</v>
      </c>
      <c r="G267" s="6" t="s">
        <v>542</v>
      </c>
    </row>
    <row r="268" spans="1:7" ht="28" customHeight="1">
      <c r="A268" s="6">
        <v>201</v>
      </c>
      <c r="B268" s="6" t="s">
        <v>603</v>
      </c>
      <c r="C268" s="7" t="s">
        <v>604</v>
      </c>
      <c r="D268" s="6" t="s">
        <v>648</v>
      </c>
      <c r="E268" s="6" t="s">
        <v>481</v>
      </c>
      <c r="F268" s="6" t="s">
        <v>455</v>
      </c>
      <c r="G268" s="6" t="s">
        <v>542</v>
      </c>
    </row>
    <row r="269" spans="1:7" ht="28" customHeight="1">
      <c r="A269" s="6">
        <v>201</v>
      </c>
      <c r="B269" s="6" t="s">
        <v>603</v>
      </c>
      <c r="C269" s="7" t="s">
        <v>604</v>
      </c>
      <c r="D269" s="6" t="s">
        <v>649</v>
      </c>
      <c r="E269" s="6" t="s">
        <v>481</v>
      </c>
      <c r="F269" s="6" t="s">
        <v>455</v>
      </c>
      <c r="G269" s="6" t="s">
        <v>542</v>
      </c>
    </row>
    <row r="270" spans="1:7" ht="28" customHeight="1">
      <c r="A270" s="6">
        <v>201</v>
      </c>
      <c r="B270" s="6" t="s">
        <v>603</v>
      </c>
      <c r="C270" s="7" t="s">
        <v>604</v>
      </c>
      <c r="D270" s="6" t="s">
        <v>650</v>
      </c>
      <c r="E270" s="6" t="s">
        <v>481</v>
      </c>
      <c r="F270" s="6" t="s">
        <v>455</v>
      </c>
      <c r="G270" s="6" t="s">
        <v>542</v>
      </c>
    </row>
    <row r="271" spans="1:7" ht="28" customHeight="1">
      <c r="A271" s="6">
        <v>201</v>
      </c>
      <c r="B271" s="6" t="s">
        <v>603</v>
      </c>
      <c r="C271" s="7" t="s">
        <v>604</v>
      </c>
      <c r="D271" s="6" t="s">
        <v>651</v>
      </c>
      <c r="E271" s="6" t="s">
        <v>481</v>
      </c>
      <c r="F271" s="6" t="s">
        <v>455</v>
      </c>
      <c r="G271" s="6" t="s">
        <v>542</v>
      </c>
    </row>
    <row r="272" spans="1:7" ht="28" customHeight="1">
      <c r="A272" s="6">
        <v>201</v>
      </c>
      <c r="B272" s="6" t="s">
        <v>603</v>
      </c>
      <c r="C272" s="7" t="s">
        <v>604</v>
      </c>
      <c r="D272" s="6" t="s">
        <v>652</v>
      </c>
      <c r="E272" s="6" t="s">
        <v>481</v>
      </c>
      <c r="F272" s="6" t="s">
        <v>455</v>
      </c>
      <c r="G272" s="6" t="s">
        <v>542</v>
      </c>
    </row>
    <row r="273" spans="1:7" ht="28" customHeight="1">
      <c r="A273" s="6">
        <v>201</v>
      </c>
      <c r="B273" s="6" t="s">
        <v>603</v>
      </c>
      <c r="C273" s="7" t="s">
        <v>604</v>
      </c>
      <c r="D273" s="6" t="s">
        <v>653</v>
      </c>
      <c r="E273" s="6" t="s">
        <v>481</v>
      </c>
      <c r="F273" s="6" t="s">
        <v>455</v>
      </c>
      <c r="G273" s="6" t="s">
        <v>542</v>
      </c>
    </row>
    <row r="274" spans="1:7" ht="28" customHeight="1">
      <c r="A274" s="6">
        <v>201</v>
      </c>
      <c r="B274" s="6" t="s">
        <v>603</v>
      </c>
      <c r="C274" s="7" t="s">
        <v>604</v>
      </c>
      <c r="D274" s="6" t="s">
        <v>654</v>
      </c>
      <c r="E274" s="6" t="s">
        <v>481</v>
      </c>
      <c r="F274" s="6" t="s">
        <v>455</v>
      </c>
      <c r="G274" s="6" t="s">
        <v>542</v>
      </c>
    </row>
    <row r="275" spans="1:7" ht="28" customHeight="1">
      <c r="A275" s="6">
        <v>201</v>
      </c>
      <c r="B275" s="6" t="s">
        <v>603</v>
      </c>
      <c r="C275" s="7" t="s">
        <v>604</v>
      </c>
      <c r="D275" s="6" t="s">
        <v>655</v>
      </c>
      <c r="E275" s="6" t="s">
        <v>481</v>
      </c>
      <c r="F275" s="6" t="s">
        <v>455</v>
      </c>
      <c r="G275" s="6" t="s">
        <v>542</v>
      </c>
    </row>
    <row r="276" spans="1:7" ht="28" customHeight="1">
      <c r="A276" s="6">
        <v>201</v>
      </c>
      <c r="B276" s="6" t="s">
        <v>603</v>
      </c>
      <c r="C276" s="7" t="s">
        <v>604</v>
      </c>
      <c r="D276" s="6" t="s">
        <v>656</v>
      </c>
      <c r="E276" s="6" t="s">
        <v>481</v>
      </c>
      <c r="F276" s="6" t="s">
        <v>455</v>
      </c>
      <c r="G276" s="6" t="s">
        <v>542</v>
      </c>
    </row>
    <row r="277" spans="1:7" ht="28" customHeight="1">
      <c r="A277" s="6">
        <v>201</v>
      </c>
      <c r="B277" s="6" t="s">
        <v>603</v>
      </c>
      <c r="C277" s="7" t="s">
        <v>604</v>
      </c>
      <c r="D277" s="6" t="s">
        <v>657</v>
      </c>
      <c r="E277" s="6" t="s">
        <v>481</v>
      </c>
      <c r="F277" s="6" t="s">
        <v>455</v>
      </c>
      <c r="G277" s="6" t="s">
        <v>542</v>
      </c>
    </row>
    <row r="278" spans="1:7" ht="28" customHeight="1">
      <c r="A278" s="6">
        <v>201</v>
      </c>
      <c r="B278" s="6" t="s">
        <v>603</v>
      </c>
      <c r="C278" s="7" t="s">
        <v>604</v>
      </c>
      <c r="D278" s="6" t="s">
        <v>658</v>
      </c>
      <c r="E278" s="6" t="s">
        <v>481</v>
      </c>
      <c r="F278" s="6" t="s">
        <v>455</v>
      </c>
      <c r="G278" s="6" t="s">
        <v>542</v>
      </c>
    </row>
    <row r="279" spans="1:7" ht="28" customHeight="1">
      <c r="A279" s="6">
        <v>201</v>
      </c>
      <c r="B279" s="6" t="s">
        <v>603</v>
      </c>
      <c r="C279" s="7" t="s">
        <v>604</v>
      </c>
      <c r="D279" s="6" t="s">
        <v>659</v>
      </c>
      <c r="E279" s="6" t="s">
        <v>481</v>
      </c>
      <c r="F279" s="6" t="s">
        <v>455</v>
      </c>
      <c r="G279" s="6" t="s">
        <v>542</v>
      </c>
    </row>
    <row r="280" spans="1:7" ht="28" customHeight="1">
      <c r="A280" s="8">
        <v>202</v>
      </c>
      <c r="B280" s="8" t="s">
        <v>603</v>
      </c>
      <c r="C280" s="9" t="s">
        <v>604</v>
      </c>
      <c r="D280" s="8" t="s">
        <v>220</v>
      </c>
      <c r="E280" s="8" t="s">
        <v>481</v>
      </c>
      <c r="F280" s="8" t="s">
        <v>455</v>
      </c>
      <c r="G280" s="8" t="s">
        <v>452</v>
      </c>
    </row>
    <row r="281" spans="1:7" ht="28" customHeight="1">
      <c r="A281" s="6">
        <v>203</v>
      </c>
      <c r="B281" s="6" t="s">
        <v>603</v>
      </c>
      <c r="C281" s="7" t="s">
        <v>604</v>
      </c>
      <c r="D281" s="6" t="s">
        <v>1769</v>
      </c>
      <c r="E281" s="6" t="s">
        <v>462</v>
      </c>
      <c r="F281" s="6" t="s">
        <v>481</v>
      </c>
      <c r="G281" s="6" t="s">
        <v>452</v>
      </c>
    </row>
    <row r="282" spans="1:7" ht="28" customHeight="1">
      <c r="A282" s="8">
        <v>204</v>
      </c>
      <c r="B282" s="8" t="s">
        <v>603</v>
      </c>
      <c r="C282" s="9" t="s">
        <v>604</v>
      </c>
      <c r="D282" s="8" t="s">
        <v>660</v>
      </c>
      <c r="E282" s="8" t="s">
        <v>460</v>
      </c>
      <c r="F282" s="8" t="s">
        <v>455</v>
      </c>
      <c r="G282" s="8" t="s">
        <v>452</v>
      </c>
    </row>
    <row r="283" spans="1:7" ht="28" customHeight="1">
      <c r="A283" s="6">
        <v>205</v>
      </c>
      <c r="B283" s="6" t="s">
        <v>603</v>
      </c>
      <c r="C283" s="7" t="s">
        <v>604</v>
      </c>
      <c r="D283" s="6" t="s">
        <v>661</v>
      </c>
      <c r="E283" s="6" t="s">
        <v>460</v>
      </c>
      <c r="F283" s="6" t="s">
        <v>486</v>
      </c>
      <c r="G283" s="6" t="s">
        <v>452</v>
      </c>
    </row>
    <row r="284" spans="1:7" ht="28" customHeight="1">
      <c r="A284" s="8">
        <v>206</v>
      </c>
      <c r="B284" s="8" t="s">
        <v>603</v>
      </c>
      <c r="C284" s="9" t="s">
        <v>604</v>
      </c>
      <c r="D284" s="8" t="s">
        <v>662</v>
      </c>
      <c r="E284" s="8" t="s">
        <v>462</v>
      </c>
      <c r="F284" s="8" t="s">
        <v>455</v>
      </c>
      <c r="G284" s="8" t="s">
        <v>452</v>
      </c>
    </row>
    <row r="285" spans="1:7" ht="28" customHeight="1">
      <c r="A285" s="6">
        <v>207</v>
      </c>
      <c r="B285" s="6" t="s">
        <v>603</v>
      </c>
      <c r="C285" s="7" t="s">
        <v>604</v>
      </c>
      <c r="D285" s="6" t="s">
        <v>223</v>
      </c>
      <c r="E285" s="6" t="s">
        <v>483</v>
      </c>
      <c r="F285" s="6" t="s">
        <v>456</v>
      </c>
      <c r="G285" s="6" t="s">
        <v>452</v>
      </c>
    </row>
    <row r="286" spans="1:7" ht="28" customHeight="1">
      <c r="A286" s="8">
        <v>208</v>
      </c>
      <c r="B286" s="8" t="s">
        <v>603</v>
      </c>
      <c r="C286" s="9" t="s">
        <v>604</v>
      </c>
      <c r="D286" s="8" t="s">
        <v>1775</v>
      </c>
      <c r="E286" s="8" t="s">
        <v>486</v>
      </c>
      <c r="F286" s="8" t="s">
        <v>483</v>
      </c>
      <c r="G286" s="8" t="s">
        <v>452</v>
      </c>
    </row>
    <row r="287" spans="1:7" ht="28" customHeight="1">
      <c r="A287" s="6">
        <v>209</v>
      </c>
      <c r="B287" s="6" t="s">
        <v>603</v>
      </c>
      <c r="C287" s="7" t="s">
        <v>604</v>
      </c>
      <c r="D287" s="6" t="s">
        <v>663</v>
      </c>
      <c r="E287" s="6" t="s">
        <v>494</v>
      </c>
      <c r="F287" s="6" t="s">
        <v>455</v>
      </c>
      <c r="G287" s="6" t="s">
        <v>452</v>
      </c>
    </row>
    <row r="288" spans="1:7" ht="28" customHeight="1">
      <c r="A288" s="8">
        <v>210</v>
      </c>
      <c r="B288" s="8" t="s">
        <v>603</v>
      </c>
      <c r="C288" s="9" t="s">
        <v>604</v>
      </c>
      <c r="D288" s="8" t="s">
        <v>664</v>
      </c>
      <c r="E288" s="8" t="s">
        <v>494</v>
      </c>
      <c r="F288" s="8" t="s">
        <v>455</v>
      </c>
      <c r="G288" s="8" t="s">
        <v>452</v>
      </c>
    </row>
    <row r="289" spans="1:7" ht="28" customHeight="1">
      <c r="A289" s="6">
        <v>211</v>
      </c>
      <c r="B289" s="6" t="s">
        <v>603</v>
      </c>
      <c r="C289" s="7" t="s">
        <v>604</v>
      </c>
      <c r="D289" s="6" t="s">
        <v>225</v>
      </c>
      <c r="E289" s="6" t="s">
        <v>457</v>
      </c>
      <c r="F289" s="6" t="s">
        <v>451</v>
      </c>
      <c r="G289" s="6" t="s">
        <v>542</v>
      </c>
    </row>
    <row r="290" spans="1:7" ht="28" customHeight="1">
      <c r="A290" s="6">
        <v>211</v>
      </c>
      <c r="B290" s="6" t="s">
        <v>603</v>
      </c>
      <c r="C290" s="7" t="s">
        <v>604</v>
      </c>
      <c r="D290" s="6" t="s">
        <v>665</v>
      </c>
      <c r="E290" s="6" t="s">
        <v>465</v>
      </c>
      <c r="F290" s="6" t="s">
        <v>451</v>
      </c>
      <c r="G290" s="6" t="s">
        <v>452</v>
      </c>
    </row>
    <row r="291" spans="1:7" ht="28" customHeight="1">
      <c r="A291" s="8">
        <v>212</v>
      </c>
      <c r="B291" s="8" t="s">
        <v>603</v>
      </c>
      <c r="C291" s="9" t="s">
        <v>604</v>
      </c>
      <c r="D291" s="8" t="s">
        <v>1780</v>
      </c>
      <c r="E291" s="8" t="s">
        <v>460</v>
      </c>
      <c r="F291" s="8" t="s">
        <v>486</v>
      </c>
      <c r="G291" s="8" t="s">
        <v>452</v>
      </c>
    </row>
    <row r="292" spans="1:7" ht="28" customHeight="1">
      <c r="A292" s="6">
        <v>213</v>
      </c>
      <c r="B292" s="6" t="s">
        <v>603</v>
      </c>
      <c r="C292" s="7" t="s">
        <v>604</v>
      </c>
      <c r="D292" s="6" t="s">
        <v>666</v>
      </c>
      <c r="E292" s="6" t="s">
        <v>460</v>
      </c>
      <c r="F292" s="6" t="s">
        <v>519</v>
      </c>
      <c r="G292" s="6" t="s">
        <v>542</v>
      </c>
    </row>
    <row r="293" spans="1:7" ht="28" customHeight="1">
      <c r="A293" s="8">
        <v>214</v>
      </c>
      <c r="B293" s="8" t="s">
        <v>603</v>
      </c>
      <c r="C293" s="9" t="s">
        <v>604</v>
      </c>
      <c r="D293" s="8" t="s">
        <v>1783</v>
      </c>
      <c r="E293" s="8" t="s">
        <v>460</v>
      </c>
      <c r="F293" s="8" t="s">
        <v>515</v>
      </c>
      <c r="G293" s="8" t="s">
        <v>542</v>
      </c>
    </row>
    <row r="294" spans="1:7" ht="28" customHeight="1">
      <c r="A294" s="6">
        <v>215</v>
      </c>
      <c r="B294" s="6" t="s">
        <v>603</v>
      </c>
      <c r="C294" s="7" t="s">
        <v>604</v>
      </c>
      <c r="D294" s="6" t="s">
        <v>227</v>
      </c>
      <c r="E294" s="6" t="s">
        <v>465</v>
      </c>
      <c r="F294" s="6" t="s">
        <v>485</v>
      </c>
      <c r="G294" s="6" t="s">
        <v>452</v>
      </c>
    </row>
    <row r="295" spans="1:7" ht="28" customHeight="1">
      <c r="A295" s="6">
        <v>215</v>
      </c>
      <c r="B295" s="6" t="s">
        <v>603</v>
      </c>
      <c r="C295" s="7" t="s">
        <v>604</v>
      </c>
      <c r="D295" s="6" t="s">
        <v>2562</v>
      </c>
      <c r="E295" s="6" t="s">
        <v>515</v>
      </c>
      <c r="F295" s="6" t="s">
        <v>451</v>
      </c>
      <c r="G295" s="6" t="s">
        <v>452</v>
      </c>
    </row>
    <row r="296" spans="1:7" ht="28" customHeight="1">
      <c r="A296" s="8">
        <v>216</v>
      </c>
      <c r="B296" s="8" t="s">
        <v>603</v>
      </c>
      <c r="C296" s="9" t="s">
        <v>604</v>
      </c>
      <c r="D296" s="8" t="s">
        <v>233</v>
      </c>
      <c r="E296" s="8" t="s">
        <v>462</v>
      </c>
      <c r="F296" s="8" t="s">
        <v>455</v>
      </c>
      <c r="G296" s="8" t="s">
        <v>452</v>
      </c>
    </row>
    <row r="297" spans="1:7" ht="28" customHeight="1">
      <c r="A297" s="6">
        <v>217</v>
      </c>
      <c r="B297" s="6" t="s">
        <v>603</v>
      </c>
      <c r="C297" s="7" t="s">
        <v>604</v>
      </c>
      <c r="D297" s="6" t="s">
        <v>1788</v>
      </c>
      <c r="E297" s="6" t="s">
        <v>462</v>
      </c>
      <c r="F297" s="6" t="s">
        <v>455</v>
      </c>
      <c r="G297" s="6" t="s">
        <v>452</v>
      </c>
    </row>
    <row r="298" spans="1:7" ht="28" customHeight="1">
      <c r="A298" s="8">
        <v>218</v>
      </c>
      <c r="B298" s="8" t="s">
        <v>603</v>
      </c>
      <c r="C298" s="9" t="s">
        <v>604</v>
      </c>
      <c r="D298" s="8" t="s">
        <v>667</v>
      </c>
      <c r="E298" s="8" t="s">
        <v>454</v>
      </c>
      <c r="F298" s="8" t="s">
        <v>455</v>
      </c>
      <c r="G298" s="8" t="s">
        <v>452</v>
      </c>
    </row>
    <row r="299" spans="1:7" ht="28" customHeight="1">
      <c r="A299" s="6">
        <v>219</v>
      </c>
      <c r="B299" s="6" t="s">
        <v>603</v>
      </c>
      <c r="C299" s="7" t="s">
        <v>604</v>
      </c>
      <c r="D299" s="6" t="s">
        <v>668</v>
      </c>
      <c r="E299" s="6" t="s">
        <v>454</v>
      </c>
      <c r="F299" s="6" t="s">
        <v>519</v>
      </c>
      <c r="G299" s="6" t="s">
        <v>452</v>
      </c>
    </row>
    <row r="300" spans="1:7" ht="28" customHeight="1">
      <c r="A300" s="8">
        <v>220</v>
      </c>
      <c r="B300" s="8" t="s">
        <v>603</v>
      </c>
      <c r="C300" s="9" t="s">
        <v>604</v>
      </c>
      <c r="D300" s="8" t="s">
        <v>235</v>
      </c>
      <c r="E300" s="8" t="s">
        <v>485</v>
      </c>
      <c r="F300" s="8" t="s">
        <v>483</v>
      </c>
      <c r="G300" s="8" t="s">
        <v>452</v>
      </c>
    </row>
    <row r="301" spans="1:7" ht="28" customHeight="1">
      <c r="A301" s="6">
        <v>221</v>
      </c>
      <c r="B301" s="6" t="s">
        <v>603</v>
      </c>
      <c r="C301" s="7" t="s">
        <v>604</v>
      </c>
      <c r="D301" s="6" t="s">
        <v>1793</v>
      </c>
      <c r="E301" s="6" t="s">
        <v>485</v>
      </c>
      <c r="F301" s="6" t="s">
        <v>483</v>
      </c>
      <c r="G301" s="6" t="s">
        <v>452</v>
      </c>
    </row>
    <row r="302" spans="1:7" ht="28" customHeight="1">
      <c r="A302" s="8">
        <v>222</v>
      </c>
      <c r="B302" s="8" t="s">
        <v>603</v>
      </c>
      <c r="C302" s="9" t="s">
        <v>604</v>
      </c>
      <c r="D302" s="8" t="s">
        <v>669</v>
      </c>
      <c r="E302" s="8" t="s">
        <v>457</v>
      </c>
      <c r="F302" s="8" t="s">
        <v>519</v>
      </c>
      <c r="G302" s="8" t="s">
        <v>542</v>
      </c>
    </row>
    <row r="303" spans="1:7" ht="28" customHeight="1">
      <c r="A303" s="8">
        <v>222</v>
      </c>
      <c r="B303" s="8" t="s">
        <v>603</v>
      </c>
      <c r="C303" s="9" t="s">
        <v>604</v>
      </c>
      <c r="D303" s="8" t="s">
        <v>670</v>
      </c>
      <c r="E303" s="8" t="s">
        <v>552</v>
      </c>
      <c r="F303" s="8" t="s">
        <v>455</v>
      </c>
      <c r="G303" s="8" t="s">
        <v>452</v>
      </c>
    </row>
    <row r="304" spans="1:7" ht="28" customHeight="1">
      <c r="A304" s="6">
        <v>223</v>
      </c>
      <c r="B304" s="6" t="s">
        <v>603</v>
      </c>
      <c r="C304" s="7" t="s">
        <v>604</v>
      </c>
      <c r="D304" s="6" t="s">
        <v>671</v>
      </c>
      <c r="E304" s="6" t="s">
        <v>457</v>
      </c>
      <c r="F304" s="6" t="s">
        <v>455</v>
      </c>
      <c r="G304" s="6" t="s">
        <v>452</v>
      </c>
    </row>
    <row r="305" spans="1:7" ht="28" customHeight="1">
      <c r="A305" s="8">
        <v>224</v>
      </c>
      <c r="B305" s="8" t="s">
        <v>603</v>
      </c>
      <c r="C305" s="9" t="s">
        <v>604</v>
      </c>
      <c r="D305" s="8" t="s">
        <v>1797</v>
      </c>
      <c r="E305" s="8" t="s">
        <v>457</v>
      </c>
      <c r="F305" s="8" t="s">
        <v>455</v>
      </c>
      <c r="G305" s="8" t="s">
        <v>452</v>
      </c>
    </row>
    <row r="306" spans="1:7" ht="28" customHeight="1">
      <c r="A306" s="6">
        <v>225</v>
      </c>
      <c r="B306" s="6" t="s">
        <v>603</v>
      </c>
      <c r="C306" s="7" t="s">
        <v>604</v>
      </c>
      <c r="D306" s="6" t="s">
        <v>672</v>
      </c>
      <c r="E306" s="6" t="s">
        <v>485</v>
      </c>
      <c r="F306" s="6" t="s">
        <v>456</v>
      </c>
      <c r="G306" s="6" t="s">
        <v>542</v>
      </c>
    </row>
    <row r="307" spans="1:7" ht="28" customHeight="1">
      <c r="A307" s="8">
        <v>226</v>
      </c>
      <c r="B307" s="8" t="s">
        <v>603</v>
      </c>
      <c r="C307" s="9" t="s">
        <v>604</v>
      </c>
      <c r="D307" s="8" t="s">
        <v>673</v>
      </c>
      <c r="E307" s="8" t="s">
        <v>457</v>
      </c>
      <c r="F307" s="8" t="s">
        <v>456</v>
      </c>
      <c r="G307" s="8" t="s">
        <v>452</v>
      </c>
    </row>
    <row r="308" spans="1:7" ht="28" customHeight="1">
      <c r="A308" s="6">
        <v>227</v>
      </c>
      <c r="B308" s="6" t="s">
        <v>603</v>
      </c>
      <c r="C308" s="7" t="s">
        <v>604</v>
      </c>
      <c r="D308" s="6" t="s">
        <v>237</v>
      </c>
      <c r="E308" s="6" t="s">
        <v>486</v>
      </c>
      <c r="F308" s="6" t="s">
        <v>456</v>
      </c>
      <c r="G308" s="6" t="s">
        <v>542</v>
      </c>
    </row>
    <row r="309" spans="1:7" ht="28" customHeight="1">
      <c r="A309" s="8">
        <v>228</v>
      </c>
      <c r="B309" s="8" t="s">
        <v>603</v>
      </c>
      <c r="C309" s="9" t="s">
        <v>604</v>
      </c>
      <c r="D309" s="8" t="s">
        <v>239</v>
      </c>
      <c r="E309" s="8" t="s">
        <v>465</v>
      </c>
      <c r="F309" s="8" t="s">
        <v>454</v>
      </c>
      <c r="G309" s="8" t="s">
        <v>452</v>
      </c>
    </row>
    <row r="310" spans="1:7" ht="28" customHeight="1">
      <c r="A310" s="6">
        <v>229</v>
      </c>
      <c r="B310" s="6" t="s">
        <v>603</v>
      </c>
      <c r="C310" s="7" t="s">
        <v>604</v>
      </c>
      <c r="D310" s="8" t="s">
        <v>1803</v>
      </c>
      <c r="E310" s="6" t="s">
        <v>465</v>
      </c>
      <c r="F310" s="6" t="s">
        <v>454</v>
      </c>
      <c r="G310" s="6" t="s">
        <v>452</v>
      </c>
    </row>
    <row r="311" spans="1:7" ht="28" customHeight="1">
      <c r="A311" s="8">
        <v>230</v>
      </c>
      <c r="B311" s="8" t="s">
        <v>603</v>
      </c>
      <c r="C311" s="9" t="s">
        <v>604</v>
      </c>
      <c r="D311" s="8" t="s">
        <v>674</v>
      </c>
      <c r="E311" s="8" t="s">
        <v>457</v>
      </c>
      <c r="F311" s="8" t="s">
        <v>561</v>
      </c>
      <c r="G311" s="8" t="s">
        <v>452</v>
      </c>
    </row>
    <row r="312" spans="1:7" ht="28" customHeight="1">
      <c r="A312" s="6">
        <v>231</v>
      </c>
      <c r="B312" s="6" t="s">
        <v>603</v>
      </c>
      <c r="C312" s="7" t="s">
        <v>604</v>
      </c>
      <c r="D312" s="6" t="s">
        <v>675</v>
      </c>
      <c r="E312" s="6" t="s">
        <v>483</v>
      </c>
      <c r="F312" s="6" t="s">
        <v>455</v>
      </c>
      <c r="G312" s="6" t="s">
        <v>452</v>
      </c>
    </row>
    <row r="313" spans="1:7" ht="28" customHeight="1">
      <c r="A313" s="8">
        <v>232</v>
      </c>
      <c r="B313" s="8" t="s">
        <v>603</v>
      </c>
      <c r="C313" s="9" t="s">
        <v>604</v>
      </c>
      <c r="D313" s="6" t="s">
        <v>1807</v>
      </c>
      <c r="E313" s="8" t="s">
        <v>483</v>
      </c>
      <c r="F313" s="8" t="s">
        <v>455</v>
      </c>
      <c r="G313" s="8" t="s">
        <v>452</v>
      </c>
    </row>
    <row r="314" spans="1:7" ht="28" customHeight="1">
      <c r="A314" s="6">
        <v>233</v>
      </c>
      <c r="B314" s="6" t="s">
        <v>603</v>
      </c>
      <c r="C314" s="7" t="s">
        <v>604</v>
      </c>
      <c r="D314" s="6" t="s">
        <v>240</v>
      </c>
      <c r="E314" s="6" t="s">
        <v>462</v>
      </c>
      <c r="F314" s="6" t="s">
        <v>455</v>
      </c>
      <c r="G314" s="6" t="s">
        <v>452</v>
      </c>
    </row>
    <row r="315" spans="1:7" ht="28" customHeight="1">
      <c r="A315" s="8">
        <v>234</v>
      </c>
      <c r="B315" s="8" t="s">
        <v>603</v>
      </c>
      <c r="C315" s="9" t="s">
        <v>604</v>
      </c>
      <c r="D315" s="8" t="s">
        <v>676</v>
      </c>
      <c r="E315" s="8" t="s">
        <v>462</v>
      </c>
      <c r="F315" s="8" t="s">
        <v>455</v>
      </c>
      <c r="G315" s="8" t="s">
        <v>452</v>
      </c>
    </row>
    <row r="316" spans="1:7" ht="28" customHeight="1">
      <c r="A316" s="6">
        <v>235</v>
      </c>
      <c r="B316" s="6" t="s">
        <v>603</v>
      </c>
      <c r="C316" s="7" t="s">
        <v>604</v>
      </c>
      <c r="D316" s="6" t="s">
        <v>242</v>
      </c>
      <c r="E316" s="6" t="s">
        <v>462</v>
      </c>
      <c r="F316" s="6" t="s">
        <v>455</v>
      </c>
      <c r="G316" s="6" t="s">
        <v>542</v>
      </c>
    </row>
    <row r="317" spans="1:7" ht="28" customHeight="1">
      <c r="A317" s="8">
        <v>236</v>
      </c>
      <c r="B317" s="8" t="s">
        <v>603</v>
      </c>
      <c r="C317" s="9" t="s">
        <v>604</v>
      </c>
      <c r="D317" s="8" t="s">
        <v>677</v>
      </c>
      <c r="E317" s="8" t="s">
        <v>515</v>
      </c>
      <c r="F317" s="8" t="s">
        <v>455</v>
      </c>
      <c r="G317" s="8" t="s">
        <v>452</v>
      </c>
    </row>
    <row r="318" spans="1:7" ht="28" customHeight="1">
      <c r="A318" s="6">
        <v>237</v>
      </c>
      <c r="B318" s="6" t="s">
        <v>603</v>
      </c>
      <c r="C318" s="7" t="s">
        <v>604</v>
      </c>
      <c r="D318" s="6" t="s">
        <v>678</v>
      </c>
      <c r="E318" s="6" t="s">
        <v>515</v>
      </c>
      <c r="F318" s="6" t="s">
        <v>455</v>
      </c>
      <c r="G318" s="6" t="s">
        <v>452</v>
      </c>
    </row>
    <row r="319" spans="1:7" ht="28" customHeight="1">
      <c r="A319" s="8">
        <v>238</v>
      </c>
      <c r="B319" s="8" t="s">
        <v>603</v>
      </c>
      <c r="C319" s="9" t="s">
        <v>604</v>
      </c>
      <c r="D319" s="8" t="s">
        <v>679</v>
      </c>
      <c r="E319" s="8" t="s">
        <v>485</v>
      </c>
      <c r="F319" s="8" t="s">
        <v>481</v>
      </c>
      <c r="G319" s="8" t="s">
        <v>452</v>
      </c>
    </row>
    <row r="320" spans="1:7" ht="28" customHeight="1">
      <c r="A320" s="6">
        <v>239</v>
      </c>
      <c r="B320" s="6" t="s">
        <v>603</v>
      </c>
      <c r="C320" s="7" t="s">
        <v>604</v>
      </c>
      <c r="D320" s="6" t="s">
        <v>680</v>
      </c>
      <c r="E320" s="6" t="s">
        <v>471</v>
      </c>
      <c r="F320" s="6" t="s">
        <v>455</v>
      </c>
      <c r="G320" s="6" t="s">
        <v>452</v>
      </c>
    </row>
    <row r="321" spans="1:7" ht="28" customHeight="1">
      <c r="A321" s="8">
        <v>240</v>
      </c>
      <c r="B321" s="8" t="s">
        <v>603</v>
      </c>
      <c r="C321" s="9" t="s">
        <v>604</v>
      </c>
      <c r="D321" s="8" t="s">
        <v>681</v>
      </c>
      <c r="E321" s="8" t="s">
        <v>454</v>
      </c>
      <c r="F321" s="8" t="s">
        <v>455</v>
      </c>
      <c r="G321" s="8" t="s">
        <v>452</v>
      </c>
    </row>
    <row r="322" spans="1:7" ht="28" customHeight="1">
      <c r="A322" s="6">
        <v>241</v>
      </c>
      <c r="B322" s="6" t="s">
        <v>603</v>
      </c>
      <c r="C322" s="7" t="s">
        <v>604</v>
      </c>
      <c r="D322" s="6" t="s">
        <v>682</v>
      </c>
      <c r="E322" s="6" t="s">
        <v>462</v>
      </c>
      <c r="F322" s="6" t="s">
        <v>455</v>
      </c>
      <c r="G322" s="6" t="s">
        <v>542</v>
      </c>
    </row>
    <row r="323" spans="1:7" ht="28" customHeight="1">
      <c r="A323" s="8">
        <v>242</v>
      </c>
      <c r="B323" s="8" t="s">
        <v>603</v>
      </c>
      <c r="C323" s="9" t="s">
        <v>604</v>
      </c>
      <c r="D323" s="8" t="s">
        <v>683</v>
      </c>
      <c r="E323" s="8" t="s">
        <v>462</v>
      </c>
      <c r="F323" s="8" t="s">
        <v>455</v>
      </c>
      <c r="G323" s="8" t="s">
        <v>452</v>
      </c>
    </row>
    <row r="324" spans="1:7" ht="28" customHeight="1">
      <c r="A324" s="6">
        <v>243</v>
      </c>
      <c r="B324" s="6" t="s">
        <v>603</v>
      </c>
      <c r="C324" s="7" t="s">
        <v>604</v>
      </c>
      <c r="D324" s="6" t="s">
        <v>245</v>
      </c>
      <c r="E324" s="6" t="s">
        <v>471</v>
      </c>
      <c r="F324" s="6" t="s">
        <v>455</v>
      </c>
      <c r="G324" s="6" t="s">
        <v>542</v>
      </c>
    </row>
    <row r="325" spans="1:7" ht="28" customHeight="1">
      <c r="A325" s="8">
        <v>244</v>
      </c>
      <c r="B325" s="8" t="s">
        <v>603</v>
      </c>
      <c r="C325" s="9" t="s">
        <v>604</v>
      </c>
      <c r="D325" s="8" t="s">
        <v>684</v>
      </c>
      <c r="E325" s="8" t="s">
        <v>454</v>
      </c>
      <c r="F325" s="8" t="s">
        <v>455</v>
      </c>
      <c r="G325" s="8" t="s">
        <v>542</v>
      </c>
    </row>
    <row r="326" spans="1:7" ht="28" customHeight="1">
      <c r="A326" s="6">
        <v>245</v>
      </c>
      <c r="B326" s="6" t="s">
        <v>603</v>
      </c>
      <c r="C326" s="7" t="s">
        <v>604</v>
      </c>
      <c r="D326" s="6" t="s">
        <v>248</v>
      </c>
      <c r="E326" s="6" t="s">
        <v>457</v>
      </c>
      <c r="F326" s="6" t="s">
        <v>455</v>
      </c>
      <c r="G326" s="6" t="s">
        <v>542</v>
      </c>
    </row>
    <row r="327" spans="1:7" ht="28" customHeight="1">
      <c r="A327" s="8">
        <v>246</v>
      </c>
      <c r="B327" s="8" t="s">
        <v>603</v>
      </c>
      <c r="C327" s="9" t="s">
        <v>604</v>
      </c>
      <c r="D327" s="8" t="s">
        <v>249</v>
      </c>
      <c r="E327" s="8" t="s">
        <v>519</v>
      </c>
      <c r="F327" s="8" t="s">
        <v>483</v>
      </c>
      <c r="G327" s="8" t="s">
        <v>452</v>
      </c>
    </row>
    <row r="328" spans="1:7" ht="28" customHeight="1">
      <c r="A328" s="6">
        <v>247</v>
      </c>
      <c r="B328" s="6" t="s">
        <v>603</v>
      </c>
      <c r="C328" s="7" t="s">
        <v>604</v>
      </c>
      <c r="D328" s="6" t="s">
        <v>685</v>
      </c>
      <c r="E328" s="6" t="s">
        <v>519</v>
      </c>
      <c r="F328" s="6" t="s">
        <v>483</v>
      </c>
      <c r="G328" s="6" t="s">
        <v>452</v>
      </c>
    </row>
    <row r="329" spans="1:7" ht="28" customHeight="1">
      <c r="A329" s="8">
        <v>248</v>
      </c>
      <c r="B329" s="8" t="s">
        <v>603</v>
      </c>
      <c r="C329" s="9" t="s">
        <v>604</v>
      </c>
      <c r="D329" s="8" t="s">
        <v>686</v>
      </c>
      <c r="E329" s="8" t="s">
        <v>519</v>
      </c>
      <c r="F329" s="8" t="s">
        <v>483</v>
      </c>
      <c r="G329" s="8" t="s">
        <v>452</v>
      </c>
    </row>
    <row r="330" spans="1:7" ht="28" customHeight="1">
      <c r="A330" s="6">
        <v>249</v>
      </c>
      <c r="B330" s="6" t="s">
        <v>603</v>
      </c>
      <c r="C330" s="7" t="s">
        <v>604</v>
      </c>
      <c r="D330" s="6" t="s">
        <v>251</v>
      </c>
      <c r="E330" s="6" t="s">
        <v>481</v>
      </c>
      <c r="F330" s="6" t="s">
        <v>456</v>
      </c>
      <c r="G330" s="6" t="s">
        <v>542</v>
      </c>
    </row>
    <row r="331" spans="1:7" ht="28" customHeight="1">
      <c r="A331" s="8">
        <v>250</v>
      </c>
      <c r="B331" s="8" t="s">
        <v>603</v>
      </c>
      <c r="C331" s="9" t="s">
        <v>604</v>
      </c>
      <c r="D331" s="8" t="s">
        <v>255</v>
      </c>
      <c r="E331" s="8" t="s">
        <v>454</v>
      </c>
      <c r="F331" s="8" t="s">
        <v>456</v>
      </c>
      <c r="G331" s="8" t="s">
        <v>542</v>
      </c>
    </row>
    <row r="332" spans="1:7" ht="28" customHeight="1">
      <c r="A332" s="6">
        <v>251</v>
      </c>
      <c r="B332" s="6" t="s">
        <v>603</v>
      </c>
      <c r="C332" s="7" t="s">
        <v>604</v>
      </c>
      <c r="D332" s="6" t="s">
        <v>259</v>
      </c>
      <c r="E332" s="6" t="s">
        <v>481</v>
      </c>
      <c r="F332" s="6" t="s">
        <v>450</v>
      </c>
      <c r="G332" s="6" t="s">
        <v>542</v>
      </c>
    </row>
    <row r="333" spans="1:7" ht="28" customHeight="1">
      <c r="A333" s="8">
        <v>252</v>
      </c>
      <c r="B333" s="8" t="s">
        <v>687</v>
      </c>
      <c r="C333" s="9" t="s">
        <v>688</v>
      </c>
      <c r="D333" s="8" t="s">
        <v>689</v>
      </c>
      <c r="E333" s="8" t="s">
        <v>450</v>
      </c>
      <c r="F333" s="8" t="s">
        <v>455</v>
      </c>
      <c r="G333" s="8" t="s">
        <v>452</v>
      </c>
    </row>
    <row r="334" spans="1:7" ht="28" customHeight="1">
      <c r="A334" s="6">
        <v>253</v>
      </c>
      <c r="B334" s="6" t="s">
        <v>687</v>
      </c>
      <c r="C334" s="7" t="s">
        <v>688</v>
      </c>
      <c r="D334" s="6" t="s">
        <v>262</v>
      </c>
      <c r="E334" s="6" t="s">
        <v>450</v>
      </c>
      <c r="F334" s="6" t="s">
        <v>455</v>
      </c>
      <c r="G334" s="6" t="s">
        <v>452</v>
      </c>
    </row>
    <row r="335" spans="1:7" ht="28" customHeight="1">
      <c r="A335" s="8">
        <v>254</v>
      </c>
      <c r="B335" s="8" t="s">
        <v>687</v>
      </c>
      <c r="C335" s="9" t="s">
        <v>688</v>
      </c>
      <c r="D335" s="8" t="s">
        <v>690</v>
      </c>
      <c r="E335" s="8" t="s">
        <v>450</v>
      </c>
      <c r="F335" s="8" t="s">
        <v>455</v>
      </c>
      <c r="G335" s="8" t="s">
        <v>452</v>
      </c>
    </row>
    <row r="336" spans="1:7" ht="28" customHeight="1">
      <c r="A336" s="6">
        <v>255</v>
      </c>
      <c r="B336" s="6" t="s">
        <v>687</v>
      </c>
      <c r="C336" s="7" t="s">
        <v>688</v>
      </c>
      <c r="D336" s="6" t="s">
        <v>1831</v>
      </c>
      <c r="E336" s="6" t="s">
        <v>454</v>
      </c>
      <c r="F336" s="6" t="s">
        <v>455</v>
      </c>
      <c r="G336" s="6" t="s">
        <v>452</v>
      </c>
    </row>
    <row r="337" spans="1:7" ht="28" customHeight="1">
      <c r="A337" s="8">
        <v>256</v>
      </c>
      <c r="B337" s="8" t="s">
        <v>687</v>
      </c>
      <c r="C337" s="9" t="s">
        <v>688</v>
      </c>
      <c r="D337" s="8" t="s">
        <v>1833</v>
      </c>
      <c r="E337" s="8" t="s">
        <v>454</v>
      </c>
      <c r="F337" s="8" t="s">
        <v>515</v>
      </c>
      <c r="G337" s="8" t="s">
        <v>452</v>
      </c>
    </row>
    <row r="338" spans="1:7" ht="28" customHeight="1">
      <c r="A338" s="6">
        <v>257</v>
      </c>
      <c r="B338" s="6" t="s">
        <v>687</v>
      </c>
      <c r="C338" s="7" t="s">
        <v>688</v>
      </c>
      <c r="D338" s="8" t="s">
        <v>265</v>
      </c>
      <c r="E338" s="6" t="s">
        <v>454</v>
      </c>
      <c r="F338" s="6" t="s">
        <v>515</v>
      </c>
      <c r="G338" s="6" t="s">
        <v>452</v>
      </c>
    </row>
    <row r="339" spans="1:7" ht="28" customHeight="1">
      <c r="A339" s="8">
        <v>258</v>
      </c>
      <c r="B339" s="8" t="s">
        <v>687</v>
      </c>
      <c r="C339" s="9" t="s">
        <v>688</v>
      </c>
      <c r="D339" s="8" t="s">
        <v>691</v>
      </c>
      <c r="E339" s="8" t="s">
        <v>457</v>
      </c>
      <c r="F339" s="8" t="s">
        <v>455</v>
      </c>
      <c r="G339" s="8" t="s">
        <v>452</v>
      </c>
    </row>
    <row r="340" spans="1:7" ht="28" customHeight="1">
      <c r="A340" s="6">
        <v>259</v>
      </c>
      <c r="B340" s="6" t="s">
        <v>687</v>
      </c>
      <c r="C340" s="7" t="s">
        <v>688</v>
      </c>
      <c r="D340" s="6" t="s">
        <v>692</v>
      </c>
      <c r="E340" s="6" t="s">
        <v>457</v>
      </c>
      <c r="F340" s="6" t="s">
        <v>483</v>
      </c>
      <c r="G340" s="6" t="s">
        <v>452</v>
      </c>
    </row>
    <row r="341" spans="1:7" ht="28" customHeight="1">
      <c r="A341" s="8">
        <v>260</v>
      </c>
      <c r="B341" s="8" t="s">
        <v>687</v>
      </c>
      <c r="C341" s="9" t="s">
        <v>688</v>
      </c>
      <c r="D341" s="8" t="s">
        <v>693</v>
      </c>
      <c r="E341" s="8" t="s">
        <v>457</v>
      </c>
      <c r="F341" s="8" t="s">
        <v>483</v>
      </c>
      <c r="G341" s="8" t="s">
        <v>452</v>
      </c>
    </row>
    <row r="342" spans="1:7" ht="28" customHeight="1">
      <c r="A342" s="6">
        <v>261</v>
      </c>
      <c r="B342" s="6" t="s">
        <v>687</v>
      </c>
      <c r="C342" s="7" t="s">
        <v>688</v>
      </c>
      <c r="D342" s="6" t="s">
        <v>694</v>
      </c>
      <c r="E342" s="6" t="s">
        <v>465</v>
      </c>
      <c r="F342" s="6" t="s">
        <v>455</v>
      </c>
      <c r="G342" s="6" t="s">
        <v>452</v>
      </c>
    </row>
    <row r="343" spans="1:7" ht="28" customHeight="1">
      <c r="A343" s="8">
        <v>262</v>
      </c>
      <c r="B343" s="8" t="s">
        <v>687</v>
      </c>
      <c r="C343" s="9" t="s">
        <v>688</v>
      </c>
      <c r="D343" s="8" t="s">
        <v>695</v>
      </c>
      <c r="E343" s="8" t="s">
        <v>465</v>
      </c>
      <c r="F343" s="8" t="s">
        <v>455</v>
      </c>
      <c r="G343" s="8" t="s">
        <v>452</v>
      </c>
    </row>
    <row r="344" spans="1:7" ht="28" customHeight="1">
      <c r="A344" s="6">
        <v>263</v>
      </c>
      <c r="B344" s="6" t="s">
        <v>687</v>
      </c>
      <c r="C344" s="7" t="s">
        <v>688</v>
      </c>
      <c r="D344" s="6" t="s">
        <v>268</v>
      </c>
      <c r="E344" s="6" t="s">
        <v>462</v>
      </c>
      <c r="F344" s="6" t="s">
        <v>455</v>
      </c>
      <c r="G344" s="6" t="s">
        <v>452</v>
      </c>
    </row>
    <row r="345" spans="1:7" ht="28" customHeight="1">
      <c r="A345" s="6">
        <v>263</v>
      </c>
      <c r="B345" s="6" t="s">
        <v>687</v>
      </c>
      <c r="C345" s="7" t="s">
        <v>688</v>
      </c>
      <c r="D345" s="6" t="s">
        <v>696</v>
      </c>
      <c r="E345" s="6" t="s">
        <v>465</v>
      </c>
      <c r="F345" s="6" t="s">
        <v>462</v>
      </c>
      <c r="G345" s="6" t="s">
        <v>452</v>
      </c>
    </row>
    <row r="346" spans="1:7" ht="28" customHeight="1">
      <c r="A346" s="8">
        <v>264</v>
      </c>
      <c r="B346" s="8" t="s">
        <v>687</v>
      </c>
      <c r="C346" s="9" t="s">
        <v>688</v>
      </c>
      <c r="D346" s="8" t="s">
        <v>697</v>
      </c>
      <c r="E346" s="8" t="s">
        <v>462</v>
      </c>
      <c r="F346" s="8" t="s">
        <v>455</v>
      </c>
      <c r="G346" s="8" t="s">
        <v>452</v>
      </c>
    </row>
    <row r="347" spans="1:7" ht="28" customHeight="1">
      <c r="A347" s="8">
        <v>264</v>
      </c>
      <c r="B347" s="8" t="s">
        <v>687</v>
      </c>
      <c r="C347" s="9" t="s">
        <v>688</v>
      </c>
      <c r="D347" s="8" t="s">
        <v>698</v>
      </c>
      <c r="E347" s="8" t="s">
        <v>465</v>
      </c>
      <c r="F347" s="8" t="s">
        <v>462</v>
      </c>
      <c r="G347" s="8" t="s">
        <v>452</v>
      </c>
    </row>
    <row r="348" spans="1:7" ht="28" customHeight="1">
      <c r="A348" s="6">
        <v>265</v>
      </c>
      <c r="B348" s="6" t="s">
        <v>687</v>
      </c>
      <c r="C348" s="7" t="s">
        <v>688</v>
      </c>
      <c r="D348" s="6" t="s">
        <v>270</v>
      </c>
      <c r="E348" s="6" t="s">
        <v>460</v>
      </c>
      <c r="F348" s="6" t="s">
        <v>455</v>
      </c>
      <c r="G348" s="6" t="s">
        <v>452</v>
      </c>
    </row>
    <row r="349" spans="1:7" ht="28" customHeight="1">
      <c r="A349" s="8">
        <v>266</v>
      </c>
      <c r="B349" s="8" t="s">
        <v>687</v>
      </c>
      <c r="C349" s="9" t="s">
        <v>688</v>
      </c>
      <c r="D349" s="8" t="s">
        <v>699</v>
      </c>
      <c r="E349" s="8" t="s">
        <v>460</v>
      </c>
      <c r="F349" s="8" t="s">
        <v>455</v>
      </c>
      <c r="G349" s="8" t="s">
        <v>452</v>
      </c>
    </row>
    <row r="350" spans="1:7" ht="28" customHeight="1">
      <c r="A350" s="6">
        <v>267</v>
      </c>
      <c r="B350" s="6" t="s">
        <v>687</v>
      </c>
      <c r="C350" s="7" t="s">
        <v>688</v>
      </c>
      <c r="D350" s="6" t="s">
        <v>1845</v>
      </c>
      <c r="E350" s="6" t="s">
        <v>460</v>
      </c>
      <c r="F350" s="6" t="s">
        <v>456</v>
      </c>
      <c r="G350" s="6" t="s">
        <v>452</v>
      </c>
    </row>
    <row r="351" spans="1:7" ht="28" customHeight="1">
      <c r="A351" s="8">
        <v>268</v>
      </c>
      <c r="B351" s="8" t="s">
        <v>687</v>
      </c>
      <c r="C351" s="9" t="s">
        <v>688</v>
      </c>
      <c r="D351" s="8" t="s">
        <v>273</v>
      </c>
      <c r="E351" s="8" t="s">
        <v>460</v>
      </c>
      <c r="F351" s="8" t="s">
        <v>455</v>
      </c>
      <c r="G351" s="8" t="s">
        <v>452</v>
      </c>
    </row>
    <row r="352" spans="1:7" ht="28" customHeight="1">
      <c r="A352" s="6">
        <v>269</v>
      </c>
      <c r="B352" s="6" t="s">
        <v>687</v>
      </c>
      <c r="C352" s="7" t="s">
        <v>688</v>
      </c>
      <c r="D352" s="6" t="s">
        <v>1848</v>
      </c>
      <c r="E352" s="6" t="s">
        <v>460</v>
      </c>
      <c r="F352" s="6" t="s">
        <v>451</v>
      </c>
      <c r="G352" s="6" t="s">
        <v>452</v>
      </c>
    </row>
    <row r="353" spans="1:7" ht="28" customHeight="1">
      <c r="A353" s="8">
        <v>270</v>
      </c>
      <c r="B353" s="8" t="s">
        <v>687</v>
      </c>
      <c r="C353" s="9" t="s">
        <v>688</v>
      </c>
      <c r="D353" s="8" t="s">
        <v>700</v>
      </c>
      <c r="E353" s="8" t="s">
        <v>457</v>
      </c>
      <c r="F353" s="8" t="s">
        <v>450</v>
      </c>
      <c r="G353" s="8" t="s">
        <v>452</v>
      </c>
    </row>
    <row r="354" spans="1:7" ht="28" customHeight="1">
      <c r="A354" s="6">
        <v>271</v>
      </c>
      <c r="B354" s="6" t="s">
        <v>687</v>
      </c>
      <c r="C354" s="7" t="s">
        <v>688</v>
      </c>
      <c r="D354" s="6" t="s">
        <v>701</v>
      </c>
      <c r="E354" s="6" t="s">
        <v>457</v>
      </c>
      <c r="F354" s="6" t="s">
        <v>450</v>
      </c>
      <c r="G354" s="6" t="s">
        <v>452</v>
      </c>
    </row>
    <row r="355" spans="1:7" ht="28" customHeight="1">
      <c r="A355" s="8">
        <v>272</v>
      </c>
      <c r="B355" s="8" t="s">
        <v>687</v>
      </c>
      <c r="C355" s="9" t="s">
        <v>688</v>
      </c>
      <c r="D355" s="8" t="s">
        <v>1852</v>
      </c>
      <c r="E355" s="8" t="s">
        <v>457</v>
      </c>
      <c r="F355" s="8" t="s">
        <v>450</v>
      </c>
      <c r="G355" s="8" t="s">
        <v>452</v>
      </c>
    </row>
    <row r="356" spans="1:7" ht="28" customHeight="1">
      <c r="A356" s="6">
        <v>273</v>
      </c>
      <c r="B356" s="6" t="s">
        <v>687</v>
      </c>
      <c r="C356" s="7" t="s">
        <v>688</v>
      </c>
      <c r="D356" s="6" t="s">
        <v>274</v>
      </c>
      <c r="E356" s="6" t="s">
        <v>450</v>
      </c>
      <c r="F356" s="6" t="s">
        <v>455</v>
      </c>
      <c r="G356" s="6" t="s">
        <v>452</v>
      </c>
    </row>
    <row r="357" spans="1:7" ht="28" customHeight="1">
      <c r="A357" s="8">
        <v>274</v>
      </c>
      <c r="B357" s="8" t="s">
        <v>687</v>
      </c>
      <c r="C357" s="9" t="s">
        <v>688</v>
      </c>
      <c r="D357" s="6" t="s">
        <v>275</v>
      </c>
      <c r="E357" s="8" t="s">
        <v>450</v>
      </c>
      <c r="F357" s="8" t="s">
        <v>465</v>
      </c>
      <c r="G357" s="8" t="s">
        <v>452</v>
      </c>
    </row>
    <row r="358" spans="1:7" ht="28" customHeight="1">
      <c r="A358" s="6">
        <v>275</v>
      </c>
      <c r="B358" s="6" t="s">
        <v>687</v>
      </c>
      <c r="C358" s="7" t="s">
        <v>688</v>
      </c>
      <c r="D358" s="8" t="s">
        <v>276</v>
      </c>
      <c r="E358" s="6" t="s">
        <v>450</v>
      </c>
      <c r="F358" s="6" t="s">
        <v>465</v>
      </c>
      <c r="G358" s="6" t="s">
        <v>452</v>
      </c>
    </row>
    <row r="359" spans="1:7" ht="28" customHeight="1">
      <c r="A359" s="8">
        <v>276</v>
      </c>
      <c r="B359" s="8" t="s">
        <v>687</v>
      </c>
      <c r="C359" s="9" t="s">
        <v>688</v>
      </c>
      <c r="D359" s="8" t="s">
        <v>702</v>
      </c>
      <c r="E359" s="8" t="s">
        <v>462</v>
      </c>
      <c r="F359" s="8" t="s">
        <v>456</v>
      </c>
      <c r="G359" s="8" t="s">
        <v>452</v>
      </c>
    </row>
    <row r="360" spans="1:7" ht="28" customHeight="1">
      <c r="A360" s="6">
        <v>277</v>
      </c>
      <c r="B360" s="6" t="s">
        <v>687</v>
      </c>
      <c r="C360" s="7" t="s">
        <v>688</v>
      </c>
      <c r="D360" s="6" t="s">
        <v>703</v>
      </c>
      <c r="E360" s="6" t="s">
        <v>462</v>
      </c>
      <c r="F360" s="6" t="s">
        <v>456</v>
      </c>
      <c r="G360" s="6" t="s">
        <v>452</v>
      </c>
    </row>
    <row r="361" spans="1:7" ht="28" customHeight="1">
      <c r="A361" s="8">
        <v>278</v>
      </c>
      <c r="B361" s="8" t="s">
        <v>687</v>
      </c>
      <c r="C361" s="9" t="s">
        <v>688</v>
      </c>
      <c r="D361" s="8" t="s">
        <v>704</v>
      </c>
      <c r="E361" s="8" t="s">
        <v>457</v>
      </c>
      <c r="F361" s="8" t="s">
        <v>456</v>
      </c>
      <c r="G361" s="8" t="s">
        <v>452</v>
      </c>
    </row>
    <row r="362" spans="1:7" ht="28" customHeight="1">
      <c r="A362" s="6">
        <v>279</v>
      </c>
      <c r="B362" s="6" t="s">
        <v>687</v>
      </c>
      <c r="C362" s="7" t="s">
        <v>688</v>
      </c>
      <c r="D362" s="6" t="s">
        <v>277</v>
      </c>
      <c r="E362" s="6" t="s">
        <v>457</v>
      </c>
      <c r="F362" s="6" t="s">
        <v>456</v>
      </c>
      <c r="G362" s="6" t="s">
        <v>452</v>
      </c>
    </row>
    <row r="363" spans="1:7" ht="28" customHeight="1">
      <c r="A363" s="8">
        <v>280</v>
      </c>
      <c r="B363" s="8" t="s">
        <v>687</v>
      </c>
      <c r="C363" s="9" t="s">
        <v>688</v>
      </c>
      <c r="D363" s="8" t="s">
        <v>705</v>
      </c>
      <c r="E363" s="8" t="s">
        <v>481</v>
      </c>
      <c r="F363" s="8" t="s">
        <v>494</v>
      </c>
      <c r="G363" s="8" t="s">
        <v>452</v>
      </c>
    </row>
    <row r="364" spans="1:7" ht="28" customHeight="1">
      <c r="A364" s="6">
        <v>281</v>
      </c>
      <c r="B364" s="6" t="s">
        <v>687</v>
      </c>
      <c r="C364" s="7" t="s">
        <v>688</v>
      </c>
      <c r="D364" s="6" t="s">
        <v>706</v>
      </c>
      <c r="E364" s="6" t="s">
        <v>481</v>
      </c>
      <c r="F364" s="6" t="s">
        <v>494</v>
      </c>
      <c r="G364" s="6" t="s">
        <v>452</v>
      </c>
    </row>
    <row r="365" spans="1:7" ht="28" customHeight="1">
      <c r="A365" s="8">
        <v>282</v>
      </c>
      <c r="B365" s="8" t="s">
        <v>687</v>
      </c>
      <c r="C365" s="9" t="s">
        <v>688</v>
      </c>
      <c r="D365" s="8" t="s">
        <v>707</v>
      </c>
      <c r="E365" s="8" t="s">
        <v>481</v>
      </c>
      <c r="F365" s="8" t="s">
        <v>494</v>
      </c>
      <c r="G365" s="8" t="s">
        <v>452</v>
      </c>
    </row>
    <row r="366" spans="1:7" ht="28" customHeight="1">
      <c r="A366" s="6">
        <v>283</v>
      </c>
      <c r="B366" s="6" t="s">
        <v>687</v>
      </c>
      <c r="C366" s="7" t="s">
        <v>688</v>
      </c>
      <c r="D366" s="6" t="s">
        <v>708</v>
      </c>
      <c r="E366" s="6" t="s">
        <v>460</v>
      </c>
      <c r="F366" s="6" t="s">
        <v>457</v>
      </c>
      <c r="G366" s="6" t="s">
        <v>452</v>
      </c>
    </row>
    <row r="367" spans="1:7" ht="28" customHeight="1">
      <c r="A367" s="8">
        <v>284</v>
      </c>
      <c r="B367" s="8" t="s">
        <v>687</v>
      </c>
      <c r="C367" s="9" t="s">
        <v>688</v>
      </c>
      <c r="D367" s="8" t="s">
        <v>709</v>
      </c>
      <c r="E367" s="8" t="s">
        <v>460</v>
      </c>
      <c r="F367" s="8" t="s">
        <v>456</v>
      </c>
      <c r="G367" s="8" t="s">
        <v>452</v>
      </c>
    </row>
    <row r="368" spans="1:7" ht="28" customHeight="1">
      <c r="A368" s="6">
        <v>285</v>
      </c>
      <c r="B368" s="6" t="s">
        <v>687</v>
      </c>
      <c r="C368" s="7" t="s">
        <v>688</v>
      </c>
      <c r="D368" s="6" t="s">
        <v>710</v>
      </c>
      <c r="E368" s="6" t="s">
        <v>450</v>
      </c>
      <c r="F368" s="6" t="s">
        <v>455</v>
      </c>
      <c r="G368" s="6" t="s">
        <v>452</v>
      </c>
    </row>
    <row r="369" spans="1:7" ht="28" customHeight="1">
      <c r="A369" s="8">
        <v>286</v>
      </c>
      <c r="B369" s="8" t="s">
        <v>687</v>
      </c>
      <c r="C369" s="9" t="s">
        <v>688</v>
      </c>
      <c r="D369" s="8" t="s">
        <v>711</v>
      </c>
      <c r="E369" s="8" t="s">
        <v>450</v>
      </c>
      <c r="F369" s="8" t="s">
        <v>515</v>
      </c>
      <c r="G369" s="8" t="s">
        <v>452</v>
      </c>
    </row>
    <row r="370" spans="1:7" ht="28" customHeight="1">
      <c r="A370" s="6">
        <v>287</v>
      </c>
      <c r="B370" s="6" t="s">
        <v>687</v>
      </c>
      <c r="C370" s="7" t="s">
        <v>688</v>
      </c>
      <c r="D370" s="6" t="s">
        <v>712</v>
      </c>
      <c r="E370" s="6" t="s">
        <v>462</v>
      </c>
      <c r="F370" s="6" t="s">
        <v>455</v>
      </c>
      <c r="G370" s="6" t="s">
        <v>452</v>
      </c>
    </row>
    <row r="371" spans="1:7" ht="28" customHeight="1">
      <c r="A371" s="8">
        <v>288</v>
      </c>
      <c r="B371" s="8" t="s">
        <v>687</v>
      </c>
      <c r="C371" s="9" t="s">
        <v>688</v>
      </c>
      <c r="D371" s="8" t="s">
        <v>713</v>
      </c>
      <c r="E371" s="8" t="s">
        <v>462</v>
      </c>
      <c r="F371" s="8" t="s">
        <v>455</v>
      </c>
      <c r="G371" s="8" t="s">
        <v>452</v>
      </c>
    </row>
    <row r="372" spans="1:7" ht="28" customHeight="1">
      <c r="A372" s="6">
        <v>289</v>
      </c>
      <c r="B372" s="6" t="s">
        <v>687</v>
      </c>
      <c r="C372" s="7" t="s">
        <v>688</v>
      </c>
      <c r="D372" s="6" t="s">
        <v>714</v>
      </c>
      <c r="E372" s="6" t="s">
        <v>462</v>
      </c>
      <c r="F372" s="6" t="s">
        <v>455</v>
      </c>
      <c r="G372" s="6" t="s">
        <v>452</v>
      </c>
    </row>
    <row r="373" spans="1:7" ht="28" customHeight="1">
      <c r="A373" s="8">
        <v>290</v>
      </c>
      <c r="B373" s="8" t="s">
        <v>687</v>
      </c>
      <c r="C373" s="9" t="s">
        <v>688</v>
      </c>
      <c r="D373" s="8" t="s">
        <v>715</v>
      </c>
      <c r="E373" s="8" t="s">
        <v>460</v>
      </c>
      <c r="F373" s="8" t="s">
        <v>483</v>
      </c>
      <c r="G373" s="8" t="s">
        <v>452</v>
      </c>
    </row>
    <row r="374" spans="1:7" ht="28" customHeight="1">
      <c r="A374" s="6">
        <v>291</v>
      </c>
      <c r="B374" s="6" t="s">
        <v>687</v>
      </c>
      <c r="C374" s="7" t="s">
        <v>688</v>
      </c>
      <c r="D374" s="6" t="s">
        <v>716</v>
      </c>
      <c r="E374" s="6" t="s">
        <v>460</v>
      </c>
      <c r="F374" s="6" t="s">
        <v>456</v>
      </c>
      <c r="G374" s="6" t="s">
        <v>452</v>
      </c>
    </row>
    <row r="375" spans="1:7" ht="28" customHeight="1">
      <c r="A375" s="8">
        <v>292</v>
      </c>
      <c r="B375" s="8" t="s">
        <v>687</v>
      </c>
      <c r="C375" s="9" t="s">
        <v>688</v>
      </c>
      <c r="D375" s="8" t="s">
        <v>717</v>
      </c>
      <c r="E375" s="8" t="s">
        <v>460</v>
      </c>
      <c r="F375" s="8" t="s">
        <v>552</v>
      </c>
      <c r="G375" s="8" t="s">
        <v>452</v>
      </c>
    </row>
    <row r="376" spans="1:7" ht="28" customHeight="1">
      <c r="A376" s="6">
        <v>293</v>
      </c>
      <c r="B376" s="6" t="s">
        <v>687</v>
      </c>
      <c r="C376" s="7" t="s">
        <v>688</v>
      </c>
      <c r="D376" s="6" t="s">
        <v>718</v>
      </c>
      <c r="E376" s="6" t="s">
        <v>462</v>
      </c>
      <c r="F376" s="6" t="s">
        <v>455</v>
      </c>
      <c r="G376" s="6" t="s">
        <v>452</v>
      </c>
    </row>
    <row r="377" spans="1:7" ht="28" customHeight="1">
      <c r="A377" s="8">
        <v>294</v>
      </c>
      <c r="B377" s="8" t="s">
        <v>687</v>
      </c>
      <c r="C377" s="9" t="s">
        <v>688</v>
      </c>
      <c r="D377" s="8" t="s">
        <v>281</v>
      </c>
      <c r="E377" s="8" t="s">
        <v>462</v>
      </c>
      <c r="F377" s="8" t="s">
        <v>455</v>
      </c>
      <c r="G377" s="8" t="s">
        <v>452</v>
      </c>
    </row>
    <row r="378" spans="1:7" ht="28" customHeight="1">
      <c r="A378" s="6">
        <v>295</v>
      </c>
      <c r="B378" s="6" t="s">
        <v>687</v>
      </c>
      <c r="C378" s="7" t="s">
        <v>688</v>
      </c>
      <c r="D378" s="6" t="s">
        <v>719</v>
      </c>
      <c r="E378" s="6" t="s">
        <v>462</v>
      </c>
      <c r="F378" s="6" t="s">
        <v>455</v>
      </c>
      <c r="G378" s="6" t="s">
        <v>452</v>
      </c>
    </row>
    <row r="379" spans="1:7" ht="28" customHeight="1">
      <c r="A379" s="8">
        <v>296</v>
      </c>
      <c r="B379" s="8" t="s">
        <v>687</v>
      </c>
      <c r="C379" s="9" t="s">
        <v>688</v>
      </c>
      <c r="D379" s="8" t="s">
        <v>720</v>
      </c>
      <c r="E379" s="8" t="s">
        <v>515</v>
      </c>
      <c r="F379" s="8" t="s">
        <v>455</v>
      </c>
      <c r="G379" s="8" t="s">
        <v>452</v>
      </c>
    </row>
    <row r="380" spans="1:7" ht="28" customHeight="1">
      <c r="A380" s="6">
        <v>297</v>
      </c>
      <c r="B380" s="6" t="s">
        <v>687</v>
      </c>
      <c r="C380" s="7" t="s">
        <v>688</v>
      </c>
      <c r="D380" s="6" t="s">
        <v>721</v>
      </c>
      <c r="E380" s="6" t="s">
        <v>515</v>
      </c>
      <c r="F380" s="6" t="s">
        <v>455</v>
      </c>
      <c r="G380" s="6" t="s">
        <v>452</v>
      </c>
    </row>
    <row r="381" spans="1:7" ht="28" customHeight="1">
      <c r="A381" s="8">
        <v>298</v>
      </c>
      <c r="B381" s="8" t="s">
        <v>687</v>
      </c>
      <c r="C381" s="9" t="s">
        <v>688</v>
      </c>
      <c r="D381" s="8" t="s">
        <v>722</v>
      </c>
      <c r="E381" s="8" t="s">
        <v>462</v>
      </c>
      <c r="F381" s="8" t="s">
        <v>494</v>
      </c>
      <c r="G381" s="8" t="s">
        <v>452</v>
      </c>
    </row>
    <row r="382" spans="1:7" ht="28" customHeight="1">
      <c r="A382" s="6">
        <v>299</v>
      </c>
      <c r="B382" s="6" t="s">
        <v>687</v>
      </c>
      <c r="C382" s="7" t="s">
        <v>688</v>
      </c>
      <c r="D382" s="6" t="s">
        <v>723</v>
      </c>
      <c r="E382" s="6" t="s">
        <v>519</v>
      </c>
      <c r="F382" s="6" t="s">
        <v>455</v>
      </c>
      <c r="G382" s="6" t="s">
        <v>452</v>
      </c>
    </row>
    <row r="383" spans="1:7" ht="28" customHeight="1">
      <c r="A383" s="8">
        <v>300</v>
      </c>
      <c r="B383" s="8" t="s">
        <v>687</v>
      </c>
      <c r="C383" s="9" t="s">
        <v>688</v>
      </c>
      <c r="D383" s="8" t="s">
        <v>724</v>
      </c>
      <c r="E383" s="8" t="s">
        <v>462</v>
      </c>
      <c r="F383" s="8" t="s">
        <v>455</v>
      </c>
      <c r="G383" s="8" t="s">
        <v>452</v>
      </c>
    </row>
    <row r="384" spans="1:7" ht="28" customHeight="1">
      <c r="A384" s="6">
        <v>301</v>
      </c>
      <c r="B384" s="6" t="s">
        <v>687</v>
      </c>
      <c r="C384" s="7" t="s">
        <v>688</v>
      </c>
      <c r="D384" s="6" t="s">
        <v>725</v>
      </c>
      <c r="E384" s="6" t="s">
        <v>462</v>
      </c>
      <c r="F384" s="6" t="s">
        <v>455</v>
      </c>
      <c r="G384" s="6" t="s">
        <v>452</v>
      </c>
    </row>
    <row r="385" spans="1:7" ht="28" customHeight="1">
      <c r="A385" s="8">
        <v>302</v>
      </c>
      <c r="B385" s="8" t="s">
        <v>687</v>
      </c>
      <c r="C385" s="9" t="s">
        <v>688</v>
      </c>
      <c r="D385" s="8" t="s">
        <v>726</v>
      </c>
      <c r="E385" s="8" t="s">
        <v>465</v>
      </c>
      <c r="F385" s="8" t="s">
        <v>552</v>
      </c>
      <c r="G385" s="8" t="s">
        <v>542</v>
      </c>
    </row>
    <row r="386" spans="1:7" ht="28" customHeight="1">
      <c r="A386" s="6">
        <v>303</v>
      </c>
      <c r="B386" s="6" t="s">
        <v>687</v>
      </c>
      <c r="C386" s="7" t="s">
        <v>688</v>
      </c>
      <c r="D386" s="6" t="s">
        <v>727</v>
      </c>
      <c r="E386" s="6" t="s">
        <v>486</v>
      </c>
      <c r="F386" s="6" t="s">
        <v>494</v>
      </c>
      <c r="G386" s="6" t="s">
        <v>542</v>
      </c>
    </row>
    <row r="387" spans="1:7" ht="28" customHeight="1">
      <c r="A387" s="8">
        <v>304</v>
      </c>
      <c r="B387" s="8" t="s">
        <v>687</v>
      </c>
      <c r="C387" s="9" t="s">
        <v>688</v>
      </c>
      <c r="D387" s="8" t="s">
        <v>728</v>
      </c>
      <c r="E387" s="8" t="s">
        <v>486</v>
      </c>
      <c r="F387" s="8" t="s">
        <v>519</v>
      </c>
      <c r="G387" s="8" t="s">
        <v>452</v>
      </c>
    </row>
    <row r="388" spans="1:7" ht="28" customHeight="1">
      <c r="A388" s="6">
        <v>305</v>
      </c>
      <c r="B388" s="6" t="s">
        <v>687</v>
      </c>
      <c r="C388" s="7" t="s">
        <v>688</v>
      </c>
      <c r="D388" s="6" t="s">
        <v>729</v>
      </c>
      <c r="E388" s="6" t="s">
        <v>486</v>
      </c>
      <c r="F388" s="6" t="s">
        <v>519</v>
      </c>
      <c r="G388" s="6" t="s">
        <v>452</v>
      </c>
    </row>
    <row r="389" spans="1:7" ht="28" customHeight="1">
      <c r="A389" s="8">
        <v>306</v>
      </c>
      <c r="B389" s="8" t="s">
        <v>687</v>
      </c>
      <c r="C389" s="9" t="s">
        <v>688</v>
      </c>
      <c r="D389" s="8" t="s">
        <v>730</v>
      </c>
      <c r="E389" s="8" t="s">
        <v>486</v>
      </c>
      <c r="F389" s="8" t="s">
        <v>519</v>
      </c>
      <c r="G389" s="8" t="s">
        <v>452</v>
      </c>
    </row>
    <row r="390" spans="1:7" ht="28" customHeight="1">
      <c r="A390" s="6">
        <v>307</v>
      </c>
      <c r="B390" s="6" t="s">
        <v>687</v>
      </c>
      <c r="C390" s="7" t="s">
        <v>688</v>
      </c>
      <c r="D390" s="6" t="s">
        <v>283</v>
      </c>
      <c r="E390" s="6" t="s">
        <v>515</v>
      </c>
      <c r="F390" s="6" t="s">
        <v>481</v>
      </c>
      <c r="G390" s="6" t="s">
        <v>452</v>
      </c>
    </row>
    <row r="391" spans="1:7" ht="28" customHeight="1">
      <c r="A391" s="8">
        <v>308</v>
      </c>
      <c r="B391" s="8" t="s">
        <v>687</v>
      </c>
      <c r="C391" s="9" t="s">
        <v>688</v>
      </c>
      <c r="D391" s="8" t="s">
        <v>1889</v>
      </c>
      <c r="E391" s="8" t="s">
        <v>515</v>
      </c>
      <c r="F391" s="8" t="s">
        <v>481</v>
      </c>
      <c r="G391" s="8" t="s">
        <v>452</v>
      </c>
    </row>
    <row r="392" spans="1:7" ht="28" customHeight="1">
      <c r="A392" s="6">
        <v>309</v>
      </c>
      <c r="B392" s="6" t="s">
        <v>687</v>
      </c>
      <c r="C392" s="7" t="s">
        <v>688</v>
      </c>
      <c r="D392" s="6" t="s">
        <v>731</v>
      </c>
      <c r="E392" s="6" t="s">
        <v>471</v>
      </c>
      <c r="F392" s="6" t="s">
        <v>455</v>
      </c>
      <c r="G392" s="6" t="s">
        <v>452</v>
      </c>
    </row>
    <row r="393" spans="1:7" ht="28" customHeight="1">
      <c r="A393" s="8">
        <v>310</v>
      </c>
      <c r="B393" s="8" t="s">
        <v>687</v>
      </c>
      <c r="C393" s="9" t="s">
        <v>688</v>
      </c>
      <c r="D393" s="8" t="s">
        <v>732</v>
      </c>
      <c r="E393" s="8" t="s">
        <v>471</v>
      </c>
      <c r="F393" s="8" t="s">
        <v>455</v>
      </c>
      <c r="G393" s="8" t="s">
        <v>452</v>
      </c>
    </row>
    <row r="394" spans="1:7" ht="28" customHeight="1">
      <c r="A394" s="6">
        <v>311</v>
      </c>
      <c r="B394" s="6" t="s">
        <v>687</v>
      </c>
      <c r="C394" s="7" t="s">
        <v>688</v>
      </c>
      <c r="D394" s="6" t="s">
        <v>733</v>
      </c>
      <c r="E394" s="6" t="s">
        <v>471</v>
      </c>
      <c r="F394" s="6" t="s">
        <v>455</v>
      </c>
      <c r="G394" s="6" t="s">
        <v>542</v>
      </c>
    </row>
    <row r="395" spans="1:7" ht="28" customHeight="1">
      <c r="A395" s="8">
        <v>312</v>
      </c>
      <c r="B395" s="8" t="s">
        <v>687</v>
      </c>
      <c r="C395" s="9" t="s">
        <v>688</v>
      </c>
      <c r="D395" s="8" t="s">
        <v>734</v>
      </c>
      <c r="E395" s="8" t="s">
        <v>471</v>
      </c>
      <c r="F395" s="8" t="s">
        <v>455</v>
      </c>
      <c r="G395" s="8" t="s">
        <v>542</v>
      </c>
    </row>
    <row r="396" spans="1:7" ht="28" customHeight="1">
      <c r="A396" s="6">
        <v>313</v>
      </c>
      <c r="B396" s="6" t="s">
        <v>687</v>
      </c>
      <c r="C396" s="7" t="s">
        <v>688</v>
      </c>
      <c r="D396" s="6" t="s">
        <v>735</v>
      </c>
      <c r="E396" s="6" t="s">
        <v>460</v>
      </c>
      <c r="F396" s="6" t="s">
        <v>455</v>
      </c>
      <c r="G396" s="6" t="s">
        <v>542</v>
      </c>
    </row>
    <row r="397" spans="1:7" ht="28" customHeight="1">
      <c r="A397" s="8">
        <v>314</v>
      </c>
      <c r="B397" s="8" t="s">
        <v>687</v>
      </c>
      <c r="C397" s="9" t="s">
        <v>688</v>
      </c>
      <c r="D397" s="8" t="s">
        <v>736</v>
      </c>
      <c r="E397" s="8" t="s">
        <v>460</v>
      </c>
      <c r="F397" s="8" t="s">
        <v>455</v>
      </c>
      <c r="G397" s="8" t="s">
        <v>542</v>
      </c>
    </row>
    <row r="398" spans="1:7" ht="28" customHeight="1">
      <c r="A398" s="6">
        <v>315</v>
      </c>
      <c r="B398" s="6" t="s">
        <v>687</v>
      </c>
      <c r="C398" s="7" t="s">
        <v>688</v>
      </c>
      <c r="D398" s="6" t="s">
        <v>284</v>
      </c>
      <c r="E398" s="6" t="s">
        <v>450</v>
      </c>
      <c r="F398" s="6" t="s">
        <v>451</v>
      </c>
      <c r="G398" s="6" t="s">
        <v>452</v>
      </c>
    </row>
    <row r="399" spans="1:7" ht="28" customHeight="1">
      <c r="A399" s="8">
        <v>316</v>
      </c>
      <c r="B399" s="8" t="s">
        <v>687</v>
      </c>
      <c r="C399" s="9" t="s">
        <v>688</v>
      </c>
      <c r="D399" s="8" t="s">
        <v>285</v>
      </c>
      <c r="E399" s="8" t="s">
        <v>451</v>
      </c>
      <c r="F399" s="8" t="s">
        <v>455</v>
      </c>
      <c r="G399" s="8" t="s">
        <v>452</v>
      </c>
    </row>
    <row r="400" spans="1:7" ht="28" customHeight="1">
      <c r="A400" s="6">
        <v>317</v>
      </c>
      <c r="B400" s="6" t="s">
        <v>687</v>
      </c>
      <c r="C400" s="7" t="s">
        <v>688</v>
      </c>
      <c r="D400" s="6" t="s">
        <v>1899</v>
      </c>
      <c r="E400" s="6" t="s">
        <v>451</v>
      </c>
      <c r="F400" s="6" t="s">
        <v>455</v>
      </c>
      <c r="G400" s="6" t="s">
        <v>452</v>
      </c>
    </row>
    <row r="401" spans="1:7" ht="28" customHeight="1">
      <c r="A401" s="8">
        <v>318</v>
      </c>
      <c r="B401" s="8" t="s">
        <v>687</v>
      </c>
      <c r="C401" s="9" t="s">
        <v>688</v>
      </c>
      <c r="D401" s="8" t="s">
        <v>737</v>
      </c>
      <c r="E401" s="8" t="s">
        <v>457</v>
      </c>
      <c r="F401" s="8" t="s">
        <v>465</v>
      </c>
      <c r="G401" s="8" t="s">
        <v>452</v>
      </c>
    </row>
    <row r="402" spans="1:7" ht="28" customHeight="1">
      <c r="A402" s="6">
        <v>319</v>
      </c>
      <c r="B402" s="6" t="s">
        <v>687</v>
      </c>
      <c r="C402" s="7" t="s">
        <v>688</v>
      </c>
      <c r="D402" s="6" t="s">
        <v>288</v>
      </c>
      <c r="E402" s="6" t="s">
        <v>457</v>
      </c>
      <c r="F402" s="6" t="s">
        <v>465</v>
      </c>
      <c r="G402" s="6" t="s">
        <v>452</v>
      </c>
    </row>
    <row r="403" spans="1:7" ht="28" customHeight="1">
      <c r="A403" s="8">
        <v>320</v>
      </c>
      <c r="B403" s="8" t="s">
        <v>687</v>
      </c>
      <c r="C403" s="9" t="s">
        <v>688</v>
      </c>
      <c r="D403" s="8" t="s">
        <v>738</v>
      </c>
      <c r="E403" s="8" t="s">
        <v>457</v>
      </c>
      <c r="F403" s="8" t="s">
        <v>455</v>
      </c>
      <c r="G403" s="8" t="s">
        <v>452</v>
      </c>
    </row>
    <row r="404" spans="1:7" ht="28" customHeight="1">
      <c r="A404" s="6">
        <v>321</v>
      </c>
      <c r="B404" s="6" t="s">
        <v>687</v>
      </c>
      <c r="C404" s="7" t="s">
        <v>688</v>
      </c>
      <c r="D404" s="6" t="s">
        <v>739</v>
      </c>
      <c r="E404" s="6" t="s">
        <v>457</v>
      </c>
      <c r="F404" s="6" t="s">
        <v>455</v>
      </c>
      <c r="G404" s="6" t="s">
        <v>452</v>
      </c>
    </row>
    <row r="405" spans="1:7" ht="28" customHeight="1">
      <c r="A405" s="8">
        <v>322</v>
      </c>
      <c r="B405" s="8" t="s">
        <v>687</v>
      </c>
      <c r="C405" s="9" t="s">
        <v>688</v>
      </c>
      <c r="D405" s="8" t="s">
        <v>1905</v>
      </c>
      <c r="E405" s="8" t="s">
        <v>454</v>
      </c>
      <c r="F405" s="8" t="s">
        <v>483</v>
      </c>
      <c r="G405" s="8" t="s">
        <v>452</v>
      </c>
    </row>
    <row r="406" spans="1:7" ht="28" customHeight="1">
      <c r="A406" s="6">
        <v>323</v>
      </c>
      <c r="B406" s="6" t="s">
        <v>687</v>
      </c>
      <c r="C406" s="7" t="s">
        <v>688</v>
      </c>
      <c r="D406" s="6" t="s">
        <v>1907</v>
      </c>
      <c r="E406" s="6" t="s">
        <v>454</v>
      </c>
      <c r="F406" s="6" t="s">
        <v>483</v>
      </c>
      <c r="G406" s="6" t="s">
        <v>452</v>
      </c>
    </row>
    <row r="407" spans="1:7" ht="28" customHeight="1">
      <c r="A407" s="8">
        <v>324</v>
      </c>
      <c r="B407" s="8" t="s">
        <v>687</v>
      </c>
      <c r="C407" s="9" t="s">
        <v>688</v>
      </c>
      <c r="D407" s="8" t="s">
        <v>740</v>
      </c>
      <c r="E407" s="8" t="s">
        <v>454</v>
      </c>
      <c r="F407" s="8" t="s">
        <v>455</v>
      </c>
      <c r="G407" s="8" t="s">
        <v>542</v>
      </c>
    </row>
    <row r="408" spans="1:7" ht="28" customHeight="1">
      <c r="A408" s="6">
        <v>325</v>
      </c>
      <c r="B408" s="6" t="s">
        <v>687</v>
      </c>
      <c r="C408" s="7" t="s">
        <v>688</v>
      </c>
      <c r="D408" s="6" t="s">
        <v>741</v>
      </c>
      <c r="E408" s="6" t="s">
        <v>481</v>
      </c>
      <c r="F408" s="6" t="s">
        <v>455</v>
      </c>
      <c r="G408" s="6" t="s">
        <v>452</v>
      </c>
    </row>
    <row r="409" spans="1:7" ht="28" customHeight="1">
      <c r="A409" s="8">
        <v>326</v>
      </c>
      <c r="B409" s="8" t="s">
        <v>687</v>
      </c>
      <c r="C409" s="9" t="s">
        <v>688</v>
      </c>
      <c r="D409" s="8" t="s">
        <v>742</v>
      </c>
      <c r="E409" s="8" t="s">
        <v>481</v>
      </c>
      <c r="F409" s="8" t="s">
        <v>455</v>
      </c>
      <c r="G409" s="8" t="s">
        <v>452</v>
      </c>
    </row>
    <row r="410" spans="1:7" ht="28" customHeight="1">
      <c r="A410" s="6">
        <v>327</v>
      </c>
      <c r="B410" s="6" t="s">
        <v>687</v>
      </c>
      <c r="C410" s="7" t="s">
        <v>688</v>
      </c>
      <c r="D410" s="6" t="s">
        <v>291</v>
      </c>
      <c r="E410" s="6" t="s">
        <v>462</v>
      </c>
      <c r="F410" s="6" t="s">
        <v>455</v>
      </c>
      <c r="G410" s="6" t="s">
        <v>542</v>
      </c>
    </row>
    <row r="411" spans="1:7" ht="28" customHeight="1">
      <c r="A411" s="8">
        <v>328</v>
      </c>
      <c r="B411" s="8" t="s">
        <v>687</v>
      </c>
      <c r="C411" s="9" t="s">
        <v>688</v>
      </c>
      <c r="D411" s="8" t="s">
        <v>743</v>
      </c>
      <c r="E411" s="8" t="s">
        <v>483</v>
      </c>
      <c r="F411" s="8" t="s">
        <v>455</v>
      </c>
      <c r="G411" s="8" t="s">
        <v>452</v>
      </c>
    </row>
    <row r="412" spans="1:7" ht="28" customHeight="1">
      <c r="A412" s="6">
        <v>329</v>
      </c>
      <c r="B412" s="6" t="s">
        <v>687</v>
      </c>
      <c r="C412" s="7" t="s">
        <v>688</v>
      </c>
      <c r="D412" s="6" t="s">
        <v>744</v>
      </c>
      <c r="E412" s="6" t="s">
        <v>483</v>
      </c>
      <c r="F412" s="6" t="s">
        <v>561</v>
      </c>
      <c r="G412" s="6" t="s">
        <v>452</v>
      </c>
    </row>
    <row r="413" spans="1:7" ht="28" customHeight="1">
      <c r="A413" s="8">
        <v>330</v>
      </c>
      <c r="B413" s="8" t="s">
        <v>687</v>
      </c>
      <c r="C413" s="9" t="s">
        <v>688</v>
      </c>
      <c r="D413" s="8" t="s">
        <v>294</v>
      </c>
      <c r="E413" s="8" t="s">
        <v>483</v>
      </c>
      <c r="F413" s="8" t="s">
        <v>561</v>
      </c>
      <c r="G413" s="8" t="s">
        <v>452</v>
      </c>
    </row>
    <row r="414" spans="1:7" ht="28" customHeight="1">
      <c r="A414" s="6">
        <v>331</v>
      </c>
      <c r="B414" s="6" t="s">
        <v>687</v>
      </c>
      <c r="C414" s="7" t="s">
        <v>688</v>
      </c>
      <c r="D414" s="6" t="s">
        <v>745</v>
      </c>
      <c r="E414" s="6" t="s">
        <v>450</v>
      </c>
      <c r="F414" s="6" t="s">
        <v>455</v>
      </c>
      <c r="G414" s="6" t="s">
        <v>452</v>
      </c>
    </row>
    <row r="415" spans="1:7" ht="28" customHeight="1">
      <c r="A415" s="8">
        <v>332</v>
      </c>
      <c r="B415" s="8" t="s">
        <v>687</v>
      </c>
      <c r="C415" s="9" t="s">
        <v>688</v>
      </c>
      <c r="D415" s="8" t="s">
        <v>1917</v>
      </c>
      <c r="E415" s="8" t="s">
        <v>450</v>
      </c>
      <c r="F415" s="8" t="s">
        <v>465</v>
      </c>
      <c r="G415" s="8" t="s">
        <v>452</v>
      </c>
    </row>
    <row r="416" spans="1:7" ht="28" customHeight="1">
      <c r="A416" s="6">
        <v>333</v>
      </c>
      <c r="B416" s="6" t="s">
        <v>687</v>
      </c>
      <c r="C416" s="7" t="s">
        <v>688</v>
      </c>
      <c r="D416" s="6" t="s">
        <v>746</v>
      </c>
      <c r="E416" s="6" t="s">
        <v>462</v>
      </c>
      <c r="F416" s="6" t="s">
        <v>456</v>
      </c>
      <c r="G416" s="6" t="s">
        <v>452</v>
      </c>
    </row>
    <row r="417" spans="1:7" ht="28" customHeight="1">
      <c r="A417" s="8">
        <v>334</v>
      </c>
      <c r="B417" s="8" t="s">
        <v>687</v>
      </c>
      <c r="C417" s="9" t="s">
        <v>688</v>
      </c>
      <c r="D417" s="8" t="s">
        <v>296</v>
      </c>
      <c r="E417" s="8" t="s">
        <v>561</v>
      </c>
      <c r="F417" s="8" t="s">
        <v>456</v>
      </c>
      <c r="G417" s="8" t="s">
        <v>452</v>
      </c>
    </row>
    <row r="418" spans="1:7" ht="28" customHeight="1">
      <c r="A418" s="6">
        <v>335</v>
      </c>
      <c r="B418" s="6" t="s">
        <v>687</v>
      </c>
      <c r="C418" s="7" t="s">
        <v>688</v>
      </c>
      <c r="D418" s="6" t="s">
        <v>747</v>
      </c>
      <c r="E418" s="6" t="s">
        <v>462</v>
      </c>
      <c r="F418" s="6" t="s">
        <v>455</v>
      </c>
      <c r="G418" s="6" t="s">
        <v>542</v>
      </c>
    </row>
    <row r="419" spans="1:7" ht="28" customHeight="1">
      <c r="A419" s="8">
        <v>336</v>
      </c>
      <c r="B419" s="8" t="s">
        <v>687</v>
      </c>
      <c r="C419" s="9" t="s">
        <v>688</v>
      </c>
      <c r="D419" s="8" t="s">
        <v>748</v>
      </c>
      <c r="E419" s="8" t="s">
        <v>451</v>
      </c>
      <c r="F419" s="8" t="s">
        <v>455</v>
      </c>
      <c r="G419" s="8" t="s">
        <v>542</v>
      </c>
    </row>
    <row r="420" spans="1:7" ht="28" customHeight="1">
      <c r="A420" s="6">
        <v>337</v>
      </c>
      <c r="B420" s="6" t="s">
        <v>687</v>
      </c>
      <c r="C420" s="7" t="s">
        <v>688</v>
      </c>
      <c r="D420" s="6" t="s">
        <v>749</v>
      </c>
      <c r="E420" s="6" t="s">
        <v>519</v>
      </c>
      <c r="F420" s="6" t="s">
        <v>481</v>
      </c>
      <c r="G420" s="6" t="s">
        <v>542</v>
      </c>
    </row>
    <row r="421" spans="1:7" ht="28" customHeight="1">
      <c r="A421" s="8">
        <v>338</v>
      </c>
      <c r="B421" s="8" t="s">
        <v>687</v>
      </c>
      <c r="C421" s="9" t="s">
        <v>688</v>
      </c>
      <c r="D421" s="8" t="s">
        <v>750</v>
      </c>
      <c r="E421" s="8" t="s">
        <v>519</v>
      </c>
      <c r="F421" s="8" t="s">
        <v>481</v>
      </c>
      <c r="G421" s="8" t="s">
        <v>542</v>
      </c>
    </row>
    <row r="422" spans="1:7" ht="28" customHeight="1">
      <c r="A422" s="6">
        <v>339</v>
      </c>
      <c r="B422" s="6" t="s">
        <v>687</v>
      </c>
      <c r="C422" s="7" t="s">
        <v>688</v>
      </c>
      <c r="D422" s="6" t="s">
        <v>751</v>
      </c>
      <c r="E422" s="6" t="s">
        <v>457</v>
      </c>
      <c r="F422" s="6" t="s">
        <v>483</v>
      </c>
      <c r="G422" s="6" t="s">
        <v>452</v>
      </c>
    </row>
    <row r="423" spans="1:7" ht="28" customHeight="1">
      <c r="A423" s="8">
        <v>340</v>
      </c>
      <c r="B423" s="8" t="s">
        <v>687</v>
      </c>
      <c r="C423" s="9" t="s">
        <v>688</v>
      </c>
      <c r="D423" s="8" t="s">
        <v>299</v>
      </c>
      <c r="E423" s="8" t="s">
        <v>457</v>
      </c>
      <c r="F423" s="8" t="s">
        <v>483</v>
      </c>
      <c r="G423" s="8" t="s">
        <v>452</v>
      </c>
    </row>
    <row r="424" spans="1:7" ht="28" customHeight="1">
      <c r="A424" s="6">
        <v>341</v>
      </c>
      <c r="B424" s="6" t="s">
        <v>687</v>
      </c>
      <c r="C424" s="7" t="s">
        <v>688</v>
      </c>
      <c r="D424" s="6" t="s">
        <v>752</v>
      </c>
      <c r="E424" s="6" t="s">
        <v>457</v>
      </c>
      <c r="F424" s="6" t="s">
        <v>455</v>
      </c>
      <c r="G424" s="6" t="s">
        <v>452</v>
      </c>
    </row>
    <row r="425" spans="1:7" ht="28" customHeight="1">
      <c r="A425" s="8">
        <v>342</v>
      </c>
      <c r="B425" s="8" t="s">
        <v>687</v>
      </c>
      <c r="C425" s="9" t="s">
        <v>688</v>
      </c>
      <c r="D425" s="8" t="s">
        <v>753</v>
      </c>
      <c r="E425" s="8" t="s">
        <v>457</v>
      </c>
      <c r="F425" s="8" t="s">
        <v>465</v>
      </c>
      <c r="G425" s="8" t="s">
        <v>452</v>
      </c>
    </row>
    <row r="426" spans="1:7" ht="28" customHeight="1">
      <c r="A426" s="6">
        <v>343</v>
      </c>
      <c r="B426" s="6" t="s">
        <v>687</v>
      </c>
      <c r="C426" s="7" t="s">
        <v>688</v>
      </c>
      <c r="D426" s="6" t="s">
        <v>754</v>
      </c>
      <c r="E426" s="6" t="s">
        <v>483</v>
      </c>
      <c r="F426" s="6" t="s">
        <v>481</v>
      </c>
      <c r="G426" s="6" t="s">
        <v>452</v>
      </c>
    </row>
    <row r="427" spans="1:7" ht="28" customHeight="1">
      <c r="A427" s="8">
        <v>344</v>
      </c>
      <c r="B427" s="8" t="s">
        <v>687</v>
      </c>
      <c r="C427" s="9" t="s">
        <v>688</v>
      </c>
      <c r="D427" s="8" t="s">
        <v>755</v>
      </c>
      <c r="E427" s="8" t="s">
        <v>483</v>
      </c>
      <c r="F427" s="8" t="s">
        <v>481</v>
      </c>
      <c r="G427" s="8" t="s">
        <v>452</v>
      </c>
    </row>
    <row r="428" spans="1:7" ht="28" customHeight="1">
      <c r="A428" s="6">
        <v>345</v>
      </c>
      <c r="B428" s="6" t="s">
        <v>687</v>
      </c>
      <c r="C428" s="7" t="s">
        <v>688</v>
      </c>
      <c r="D428" s="6" t="s">
        <v>756</v>
      </c>
      <c r="E428" s="6" t="s">
        <v>519</v>
      </c>
      <c r="F428" s="6" t="s">
        <v>450</v>
      </c>
      <c r="G428" s="6" t="s">
        <v>452</v>
      </c>
    </row>
    <row r="429" spans="1:7" ht="28" customHeight="1">
      <c r="A429" s="8">
        <v>346</v>
      </c>
      <c r="B429" s="8" t="s">
        <v>687</v>
      </c>
      <c r="C429" s="9" t="s">
        <v>688</v>
      </c>
      <c r="D429" s="8" t="s">
        <v>757</v>
      </c>
      <c r="E429" s="8" t="s">
        <v>519</v>
      </c>
      <c r="F429" s="8" t="s">
        <v>450</v>
      </c>
      <c r="G429" s="8" t="s">
        <v>452</v>
      </c>
    </row>
    <row r="430" spans="1:7" ht="28" customHeight="1">
      <c r="A430" s="6">
        <v>347</v>
      </c>
      <c r="B430" s="6" t="s">
        <v>687</v>
      </c>
      <c r="C430" s="7" t="s">
        <v>688</v>
      </c>
      <c r="D430" s="6" t="s">
        <v>758</v>
      </c>
      <c r="E430" s="6" t="s">
        <v>519</v>
      </c>
      <c r="F430" s="6" t="s">
        <v>460</v>
      </c>
      <c r="G430" s="6" t="s">
        <v>452</v>
      </c>
    </row>
    <row r="431" spans="1:7" ht="28" customHeight="1">
      <c r="A431" s="8">
        <v>348</v>
      </c>
      <c r="B431" s="8" t="s">
        <v>687</v>
      </c>
      <c r="C431" s="9" t="s">
        <v>688</v>
      </c>
      <c r="D431" s="8" t="s">
        <v>759</v>
      </c>
      <c r="E431" s="8" t="s">
        <v>519</v>
      </c>
      <c r="F431" s="8" t="s">
        <v>460</v>
      </c>
      <c r="G431" s="8" t="s">
        <v>452</v>
      </c>
    </row>
    <row r="432" spans="1:7" ht="28" customHeight="1">
      <c r="A432" s="6">
        <v>349</v>
      </c>
      <c r="B432" s="6" t="s">
        <v>687</v>
      </c>
      <c r="C432" s="7" t="s">
        <v>688</v>
      </c>
      <c r="D432" s="6" t="s">
        <v>760</v>
      </c>
      <c r="E432" s="6" t="s">
        <v>457</v>
      </c>
      <c r="F432" s="6" t="s">
        <v>455</v>
      </c>
      <c r="G432" s="6" t="s">
        <v>452</v>
      </c>
    </row>
    <row r="433" spans="1:7" ht="28" customHeight="1">
      <c r="A433" s="8">
        <v>350</v>
      </c>
      <c r="B433" s="8" t="s">
        <v>687</v>
      </c>
      <c r="C433" s="9" t="s">
        <v>688</v>
      </c>
      <c r="D433" s="8" t="s">
        <v>301</v>
      </c>
      <c r="E433" s="8" t="s">
        <v>457</v>
      </c>
      <c r="F433" s="8" t="s">
        <v>455</v>
      </c>
      <c r="G433" s="8" t="s">
        <v>452</v>
      </c>
    </row>
    <row r="434" spans="1:7" ht="28" customHeight="1">
      <c r="A434" s="6">
        <v>351</v>
      </c>
      <c r="B434" s="6" t="s">
        <v>687</v>
      </c>
      <c r="C434" s="7" t="s">
        <v>688</v>
      </c>
      <c r="D434" s="6" t="s">
        <v>761</v>
      </c>
      <c r="E434" s="6" t="s">
        <v>462</v>
      </c>
      <c r="F434" s="6" t="s">
        <v>455</v>
      </c>
      <c r="G434" s="6" t="s">
        <v>542</v>
      </c>
    </row>
    <row r="435" spans="1:7" ht="28" customHeight="1">
      <c r="A435" s="8">
        <v>352</v>
      </c>
      <c r="B435" s="8" t="s">
        <v>687</v>
      </c>
      <c r="C435" s="9" t="s">
        <v>688</v>
      </c>
      <c r="D435" s="8" t="s">
        <v>762</v>
      </c>
      <c r="E435" s="8" t="s">
        <v>462</v>
      </c>
      <c r="F435" s="8" t="s">
        <v>455</v>
      </c>
      <c r="G435" s="8" t="s">
        <v>542</v>
      </c>
    </row>
    <row r="436" spans="1:7" ht="28" customHeight="1">
      <c r="A436" s="6">
        <v>353</v>
      </c>
      <c r="B436" s="6" t="s">
        <v>687</v>
      </c>
      <c r="C436" s="7" t="s">
        <v>688</v>
      </c>
      <c r="D436" s="6" t="s">
        <v>763</v>
      </c>
      <c r="E436" s="6" t="s">
        <v>552</v>
      </c>
      <c r="F436" s="6" t="s">
        <v>455</v>
      </c>
      <c r="G436" s="6" t="s">
        <v>452</v>
      </c>
    </row>
    <row r="437" spans="1:7" ht="28" customHeight="1">
      <c r="A437" s="8">
        <v>354</v>
      </c>
      <c r="B437" s="8" t="s">
        <v>687</v>
      </c>
      <c r="C437" s="9" t="s">
        <v>688</v>
      </c>
      <c r="D437" s="8" t="s">
        <v>764</v>
      </c>
      <c r="E437" s="8" t="s">
        <v>552</v>
      </c>
      <c r="F437" s="8" t="s">
        <v>455</v>
      </c>
      <c r="G437" s="8" t="s">
        <v>452</v>
      </c>
    </row>
    <row r="438" spans="1:7" ht="28" customHeight="1">
      <c r="A438" s="6">
        <v>355</v>
      </c>
      <c r="B438" s="6" t="s">
        <v>687</v>
      </c>
      <c r="C438" s="7" t="s">
        <v>688</v>
      </c>
      <c r="D438" s="6" t="s">
        <v>304</v>
      </c>
      <c r="E438" s="6" t="s">
        <v>552</v>
      </c>
      <c r="F438" s="6" t="s">
        <v>455</v>
      </c>
      <c r="G438" s="6" t="s">
        <v>452</v>
      </c>
    </row>
    <row r="439" spans="1:7" ht="28" customHeight="1">
      <c r="A439" s="8">
        <v>356</v>
      </c>
      <c r="B439" s="8" t="s">
        <v>687</v>
      </c>
      <c r="C439" s="9" t="s">
        <v>688</v>
      </c>
      <c r="D439" s="8" t="s">
        <v>307</v>
      </c>
      <c r="E439" s="8" t="s">
        <v>552</v>
      </c>
      <c r="F439" s="8" t="s">
        <v>455</v>
      </c>
      <c r="G439" s="8" t="s">
        <v>452</v>
      </c>
    </row>
    <row r="440" spans="1:7" ht="28" customHeight="1">
      <c r="A440" s="6">
        <v>357</v>
      </c>
      <c r="B440" s="6" t="s">
        <v>687</v>
      </c>
      <c r="C440" s="7" t="s">
        <v>688</v>
      </c>
      <c r="D440" s="6" t="s">
        <v>765</v>
      </c>
      <c r="E440" s="6" t="s">
        <v>450</v>
      </c>
      <c r="F440" s="6" t="s">
        <v>456</v>
      </c>
      <c r="G440" s="6" t="s">
        <v>542</v>
      </c>
    </row>
    <row r="441" spans="1:7" ht="28" customHeight="1">
      <c r="A441" s="8">
        <v>358</v>
      </c>
      <c r="B441" s="8" t="s">
        <v>687</v>
      </c>
      <c r="C441" s="9" t="s">
        <v>688</v>
      </c>
      <c r="D441" s="8" t="s">
        <v>766</v>
      </c>
      <c r="E441" s="8" t="s">
        <v>481</v>
      </c>
      <c r="F441" s="8" t="s">
        <v>455</v>
      </c>
      <c r="G441" s="8" t="s">
        <v>452</v>
      </c>
    </row>
    <row r="442" spans="1:7" ht="28" customHeight="1">
      <c r="A442" s="6">
        <v>359</v>
      </c>
      <c r="B442" s="6" t="s">
        <v>687</v>
      </c>
      <c r="C442" s="7" t="s">
        <v>688</v>
      </c>
      <c r="D442" s="6" t="s">
        <v>767</v>
      </c>
      <c r="E442" s="6" t="s">
        <v>465</v>
      </c>
      <c r="F442" s="6" t="s">
        <v>455</v>
      </c>
      <c r="G442" s="6" t="s">
        <v>542</v>
      </c>
    </row>
    <row r="443" spans="1:7" ht="28" customHeight="1">
      <c r="A443" s="8">
        <v>360</v>
      </c>
      <c r="B443" s="8" t="s">
        <v>687</v>
      </c>
      <c r="C443" s="9" t="s">
        <v>688</v>
      </c>
      <c r="D443" s="8" t="s">
        <v>768</v>
      </c>
      <c r="E443" s="8" t="s">
        <v>481</v>
      </c>
      <c r="F443" s="8" t="s">
        <v>455</v>
      </c>
      <c r="G443" s="8" t="s">
        <v>452</v>
      </c>
    </row>
    <row r="444" spans="1:7" ht="28" customHeight="1">
      <c r="A444" s="11">
        <v>361</v>
      </c>
      <c r="B444" s="11" t="s">
        <v>687</v>
      </c>
      <c r="C444" s="12" t="s">
        <v>688</v>
      </c>
      <c r="D444" s="11" t="s">
        <v>769</v>
      </c>
      <c r="E444" s="11" t="s">
        <v>485</v>
      </c>
      <c r="F444" s="11" t="s">
        <v>455</v>
      </c>
      <c r="G444" s="11" t="s">
        <v>452</v>
      </c>
    </row>
    <row r="445" spans="1:7" ht="28" customHeight="1">
      <c r="A445" s="8">
        <v>362</v>
      </c>
      <c r="B445" s="8" t="s">
        <v>687</v>
      </c>
      <c r="C445" s="9" t="s">
        <v>688</v>
      </c>
      <c r="D445" s="8" t="s">
        <v>770</v>
      </c>
      <c r="E445" s="8" t="s">
        <v>485</v>
      </c>
      <c r="F445" s="8" t="s">
        <v>455</v>
      </c>
      <c r="G445" s="8" t="s">
        <v>452</v>
      </c>
    </row>
    <row r="446" spans="1:7" ht="28" customHeight="1">
      <c r="A446" s="6">
        <v>363</v>
      </c>
      <c r="B446" s="6" t="s">
        <v>687</v>
      </c>
      <c r="C446" s="7" t="s">
        <v>688</v>
      </c>
      <c r="D446" s="6" t="s">
        <v>311</v>
      </c>
      <c r="E446" s="6" t="s">
        <v>485</v>
      </c>
      <c r="F446" s="6" t="s">
        <v>457</v>
      </c>
      <c r="G446" s="6" t="s">
        <v>452</v>
      </c>
    </row>
    <row r="447" spans="1:7" ht="28" customHeight="1">
      <c r="A447" s="8">
        <v>364</v>
      </c>
      <c r="B447" s="8" t="s">
        <v>687</v>
      </c>
      <c r="C447" s="9" t="s">
        <v>688</v>
      </c>
      <c r="D447" s="8" t="s">
        <v>771</v>
      </c>
      <c r="E447" s="8" t="s">
        <v>485</v>
      </c>
      <c r="F447" s="8" t="s">
        <v>457</v>
      </c>
      <c r="G447" s="8" t="s">
        <v>452</v>
      </c>
    </row>
    <row r="448" spans="1:7" ht="28" customHeight="1">
      <c r="A448" s="6">
        <v>365</v>
      </c>
      <c r="B448" s="6" t="s">
        <v>687</v>
      </c>
      <c r="C448" s="7" t="s">
        <v>688</v>
      </c>
      <c r="D448" s="6" t="s">
        <v>772</v>
      </c>
      <c r="E448" s="6" t="s">
        <v>485</v>
      </c>
      <c r="F448" s="6" t="s">
        <v>457</v>
      </c>
      <c r="G448" s="6" t="s">
        <v>452</v>
      </c>
    </row>
    <row r="449" spans="1:7" ht="28" customHeight="1">
      <c r="A449" s="8">
        <v>366</v>
      </c>
      <c r="B449" s="8" t="s">
        <v>687</v>
      </c>
      <c r="C449" s="9" t="s">
        <v>688</v>
      </c>
      <c r="D449" s="8" t="s">
        <v>313</v>
      </c>
      <c r="E449" s="8" t="s">
        <v>457</v>
      </c>
      <c r="F449" s="8" t="s">
        <v>455</v>
      </c>
      <c r="G449" s="8" t="s">
        <v>452</v>
      </c>
    </row>
    <row r="450" spans="1:7" ht="28" customHeight="1">
      <c r="A450" s="6">
        <v>367</v>
      </c>
      <c r="B450" s="6" t="s">
        <v>687</v>
      </c>
      <c r="C450" s="7" t="s">
        <v>688</v>
      </c>
      <c r="D450" s="6" t="s">
        <v>773</v>
      </c>
      <c r="E450" s="6" t="s">
        <v>457</v>
      </c>
      <c r="F450" s="6" t="s">
        <v>455</v>
      </c>
      <c r="G450" s="6" t="s">
        <v>452</v>
      </c>
    </row>
    <row r="451" spans="1:7" ht="28" customHeight="1">
      <c r="A451" s="8">
        <v>368</v>
      </c>
      <c r="B451" s="8" t="s">
        <v>687</v>
      </c>
      <c r="C451" s="9" t="s">
        <v>688</v>
      </c>
      <c r="D451" s="8" t="s">
        <v>774</v>
      </c>
      <c r="E451" s="8" t="s">
        <v>457</v>
      </c>
      <c r="F451" s="8" t="s">
        <v>455</v>
      </c>
      <c r="G451" s="8" t="s">
        <v>452</v>
      </c>
    </row>
    <row r="452" spans="1:7" ht="28" customHeight="1">
      <c r="A452" s="6">
        <v>369</v>
      </c>
      <c r="B452" s="6" t="s">
        <v>687</v>
      </c>
      <c r="C452" s="7" t="s">
        <v>688</v>
      </c>
      <c r="D452" s="6" t="s">
        <v>1955</v>
      </c>
      <c r="E452" s="6" t="s">
        <v>457</v>
      </c>
      <c r="F452" s="6" t="s">
        <v>519</v>
      </c>
      <c r="G452" s="6" t="s">
        <v>542</v>
      </c>
    </row>
    <row r="453" spans="1:7" ht="28" customHeight="1">
      <c r="A453" s="8">
        <v>370</v>
      </c>
      <c r="B453" s="8" t="s">
        <v>687</v>
      </c>
      <c r="C453" s="9" t="s">
        <v>688</v>
      </c>
      <c r="D453" s="8" t="s">
        <v>316</v>
      </c>
      <c r="E453" s="8" t="s">
        <v>457</v>
      </c>
      <c r="F453" s="8" t="s">
        <v>455</v>
      </c>
      <c r="G453" s="8" t="s">
        <v>452</v>
      </c>
    </row>
    <row r="454" spans="1:7" ht="28" customHeight="1">
      <c r="A454" s="6">
        <v>371</v>
      </c>
      <c r="B454" s="6" t="s">
        <v>687</v>
      </c>
      <c r="C454" s="7" t="s">
        <v>688</v>
      </c>
      <c r="D454" s="6" t="s">
        <v>775</v>
      </c>
      <c r="E454" s="6" t="s">
        <v>561</v>
      </c>
      <c r="F454" s="6" t="s">
        <v>455</v>
      </c>
      <c r="G454" s="6" t="s">
        <v>452</v>
      </c>
    </row>
    <row r="455" spans="1:7" ht="28" customHeight="1">
      <c r="A455" s="8">
        <v>372</v>
      </c>
      <c r="B455" s="8" t="s">
        <v>687</v>
      </c>
      <c r="C455" s="9" t="s">
        <v>688</v>
      </c>
      <c r="D455" s="8" t="s">
        <v>776</v>
      </c>
      <c r="E455" s="8" t="s">
        <v>561</v>
      </c>
      <c r="F455" s="8" t="s">
        <v>455</v>
      </c>
      <c r="G455" s="8" t="s">
        <v>452</v>
      </c>
    </row>
    <row r="456" spans="1:7" ht="28" customHeight="1">
      <c r="A456" s="6">
        <v>373</v>
      </c>
      <c r="B456" s="6" t="s">
        <v>687</v>
      </c>
      <c r="C456" s="7" t="s">
        <v>688</v>
      </c>
      <c r="D456" s="6" t="s">
        <v>777</v>
      </c>
      <c r="E456" s="13" t="s">
        <v>561</v>
      </c>
      <c r="F456" s="6" t="s">
        <v>456</v>
      </c>
      <c r="G456" s="6" t="s">
        <v>452</v>
      </c>
    </row>
    <row r="457" spans="1:7" ht="28" customHeight="1">
      <c r="A457" s="8">
        <v>374</v>
      </c>
      <c r="B457" s="8" t="s">
        <v>687</v>
      </c>
      <c r="C457" s="9" t="s">
        <v>688</v>
      </c>
      <c r="D457" s="8" t="s">
        <v>778</v>
      </c>
      <c r="E457" s="8" t="s">
        <v>486</v>
      </c>
      <c r="F457" s="8" t="s">
        <v>481</v>
      </c>
      <c r="G457" s="8" t="s">
        <v>452</v>
      </c>
    </row>
    <row r="458" spans="1:7" ht="28" customHeight="1">
      <c r="A458" s="6">
        <v>375</v>
      </c>
      <c r="B458" s="6" t="s">
        <v>687</v>
      </c>
      <c r="C458" s="7" t="s">
        <v>688</v>
      </c>
      <c r="D458" s="6" t="s">
        <v>779</v>
      </c>
      <c r="E458" s="6" t="s">
        <v>486</v>
      </c>
      <c r="F458" s="6" t="s">
        <v>481</v>
      </c>
      <c r="G458" s="6" t="s">
        <v>452</v>
      </c>
    </row>
    <row r="459" spans="1:7" ht="28" customHeight="1">
      <c r="A459" s="8">
        <v>376</v>
      </c>
      <c r="B459" s="8" t="s">
        <v>687</v>
      </c>
      <c r="C459" s="9" t="s">
        <v>688</v>
      </c>
      <c r="D459" s="8" t="s">
        <v>319</v>
      </c>
      <c r="E459" s="8" t="s">
        <v>486</v>
      </c>
      <c r="F459" s="8" t="s">
        <v>481</v>
      </c>
      <c r="G459" s="8" t="s">
        <v>452</v>
      </c>
    </row>
    <row r="460" spans="1:7" ht="28" customHeight="1">
      <c r="A460" s="6">
        <v>377</v>
      </c>
      <c r="B460" s="6" t="s">
        <v>687</v>
      </c>
      <c r="C460" s="7" t="s">
        <v>688</v>
      </c>
      <c r="D460" s="6" t="s">
        <v>780</v>
      </c>
      <c r="E460" s="6" t="s">
        <v>519</v>
      </c>
      <c r="F460" s="6" t="s">
        <v>455</v>
      </c>
      <c r="G460" s="6" t="s">
        <v>542</v>
      </c>
    </row>
    <row r="461" spans="1:7" ht="28" customHeight="1">
      <c r="A461" s="8">
        <v>378</v>
      </c>
      <c r="B461" s="8" t="s">
        <v>687</v>
      </c>
      <c r="C461" s="9" t="s">
        <v>688</v>
      </c>
      <c r="D461" s="8" t="s">
        <v>781</v>
      </c>
      <c r="E461" s="8" t="s">
        <v>485</v>
      </c>
      <c r="F461" s="8" t="s">
        <v>455</v>
      </c>
      <c r="G461" s="8" t="s">
        <v>542</v>
      </c>
    </row>
    <row r="462" spans="1:7" ht="28" customHeight="1">
      <c r="A462" s="6">
        <v>379</v>
      </c>
      <c r="B462" s="6" t="s">
        <v>687</v>
      </c>
      <c r="C462" s="7" t="s">
        <v>688</v>
      </c>
      <c r="D462" s="6" t="s">
        <v>782</v>
      </c>
      <c r="E462" s="6" t="s">
        <v>486</v>
      </c>
      <c r="F462" s="6" t="s">
        <v>455</v>
      </c>
      <c r="G462" s="6" t="s">
        <v>542</v>
      </c>
    </row>
    <row r="463" spans="1:7" ht="28" customHeight="1">
      <c r="A463" s="8">
        <v>380</v>
      </c>
      <c r="B463" s="8" t="s">
        <v>687</v>
      </c>
      <c r="C463" s="9" t="s">
        <v>688</v>
      </c>
      <c r="D463" s="8" t="s">
        <v>783</v>
      </c>
      <c r="E463" s="8" t="s">
        <v>561</v>
      </c>
      <c r="F463" s="8" t="s">
        <v>481</v>
      </c>
      <c r="G463" s="8" t="s">
        <v>542</v>
      </c>
    </row>
    <row r="464" spans="1:7" ht="28" customHeight="1">
      <c r="A464" s="6">
        <v>381</v>
      </c>
      <c r="B464" s="6" t="s">
        <v>687</v>
      </c>
      <c r="C464" s="7" t="s">
        <v>688</v>
      </c>
      <c r="D464" s="6" t="s">
        <v>784</v>
      </c>
      <c r="E464" s="6" t="s">
        <v>561</v>
      </c>
      <c r="F464" s="6" t="s">
        <v>481</v>
      </c>
      <c r="G464" s="6" t="s">
        <v>542</v>
      </c>
    </row>
    <row r="465" spans="1:7" ht="28" customHeight="1">
      <c r="A465" s="8">
        <v>382</v>
      </c>
      <c r="B465" s="8" t="s">
        <v>687</v>
      </c>
      <c r="C465" s="9" t="s">
        <v>688</v>
      </c>
      <c r="D465" s="8" t="s">
        <v>785</v>
      </c>
      <c r="E465" s="8" t="s">
        <v>457</v>
      </c>
      <c r="F465" s="8" t="s">
        <v>455</v>
      </c>
      <c r="G465" s="8" t="s">
        <v>542</v>
      </c>
    </row>
    <row r="466" spans="1:7" ht="28" customHeight="1">
      <c r="A466" s="6">
        <v>383</v>
      </c>
      <c r="B466" s="6" t="s">
        <v>687</v>
      </c>
      <c r="C466" s="7" t="s">
        <v>688</v>
      </c>
      <c r="D466" s="6" t="s">
        <v>786</v>
      </c>
      <c r="E466" s="6" t="s">
        <v>483</v>
      </c>
      <c r="F466" s="6" t="s">
        <v>455</v>
      </c>
      <c r="G466" s="6" t="s">
        <v>542</v>
      </c>
    </row>
    <row r="467" spans="1:7" ht="28" customHeight="1">
      <c r="A467" s="8">
        <v>384</v>
      </c>
      <c r="B467" s="8" t="s">
        <v>687</v>
      </c>
      <c r="C467" s="9" t="s">
        <v>688</v>
      </c>
      <c r="D467" s="8" t="s">
        <v>320</v>
      </c>
      <c r="E467" s="8" t="s">
        <v>561</v>
      </c>
      <c r="F467" s="8" t="s">
        <v>456</v>
      </c>
      <c r="G467" s="8" t="s">
        <v>542</v>
      </c>
    </row>
    <row r="468" spans="1:7" ht="28" customHeight="1">
      <c r="A468" s="6">
        <v>385</v>
      </c>
      <c r="B468" s="6" t="s">
        <v>687</v>
      </c>
      <c r="C468" s="7" t="s">
        <v>688</v>
      </c>
      <c r="D468" s="6" t="s">
        <v>787</v>
      </c>
      <c r="E468" s="6" t="s">
        <v>486</v>
      </c>
      <c r="F468" s="6" t="s">
        <v>481</v>
      </c>
      <c r="G468" s="6" t="s">
        <v>542</v>
      </c>
    </row>
    <row r="469" spans="1:7" ht="28" customHeight="1">
      <c r="A469" s="8">
        <v>386</v>
      </c>
      <c r="B469" s="8" t="s">
        <v>687</v>
      </c>
      <c r="C469" s="9" t="s">
        <v>688</v>
      </c>
      <c r="D469" s="8" t="s">
        <v>788</v>
      </c>
      <c r="E469" s="8" t="s">
        <v>481</v>
      </c>
      <c r="F469" s="8" t="s">
        <v>455</v>
      </c>
      <c r="G469" s="8" t="s">
        <v>542</v>
      </c>
    </row>
    <row r="470" spans="1:7" ht="28" customHeight="1">
      <c r="A470" s="8">
        <v>386</v>
      </c>
      <c r="B470" s="8" t="s">
        <v>687</v>
      </c>
      <c r="C470" s="9" t="s">
        <v>688</v>
      </c>
      <c r="D470" s="8" t="s">
        <v>789</v>
      </c>
      <c r="E470" s="8" t="s">
        <v>481</v>
      </c>
      <c r="F470" s="8" t="s">
        <v>455</v>
      </c>
      <c r="G470" s="8" t="s">
        <v>542</v>
      </c>
    </row>
    <row r="471" spans="1:7" ht="28" customHeight="1">
      <c r="A471" s="8">
        <v>386</v>
      </c>
      <c r="B471" s="8" t="s">
        <v>687</v>
      </c>
      <c r="C471" s="9" t="s">
        <v>688</v>
      </c>
      <c r="D471" s="8" t="s">
        <v>790</v>
      </c>
      <c r="E471" s="8" t="s">
        <v>481</v>
      </c>
      <c r="F471" s="8" t="s">
        <v>455</v>
      </c>
      <c r="G471" s="8" t="s">
        <v>542</v>
      </c>
    </row>
    <row r="472" spans="1:7" ht="28" customHeight="1">
      <c r="A472" s="8">
        <v>386</v>
      </c>
      <c r="B472" s="8" t="s">
        <v>687</v>
      </c>
      <c r="C472" s="9" t="s">
        <v>688</v>
      </c>
      <c r="D472" s="8" t="s">
        <v>791</v>
      </c>
      <c r="E472" s="8" t="s">
        <v>481</v>
      </c>
      <c r="F472" s="8" t="s">
        <v>455</v>
      </c>
      <c r="G472" s="8" t="s">
        <v>542</v>
      </c>
    </row>
    <row r="473" spans="1:7" ht="28" customHeight="1">
      <c r="A473" s="6">
        <v>387</v>
      </c>
      <c r="B473" s="6" t="s">
        <v>792</v>
      </c>
      <c r="C473" s="7" t="s">
        <v>793</v>
      </c>
      <c r="D473" s="6" t="s">
        <v>322</v>
      </c>
      <c r="E473" s="6" t="s">
        <v>450</v>
      </c>
      <c r="F473" s="6" t="s">
        <v>455</v>
      </c>
      <c r="G473" s="6" t="s">
        <v>452</v>
      </c>
    </row>
    <row r="474" spans="1:7" ht="28" customHeight="1">
      <c r="A474" s="8">
        <v>388</v>
      </c>
      <c r="B474" s="8" t="s">
        <v>792</v>
      </c>
      <c r="C474" s="9" t="s">
        <v>793</v>
      </c>
      <c r="D474" s="8" t="s">
        <v>794</v>
      </c>
      <c r="E474" s="8" t="s">
        <v>450</v>
      </c>
      <c r="F474" s="8" t="s">
        <v>455</v>
      </c>
      <c r="G474" s="8" t="s">
        <v>452</v>
      </c>
    </row>
    <row r="475" spans="1:7" ht="28" customHeight="1">
      <c r="A475" s="6">
        <v>389</v>
      </c>
      <c r="B475" s="6" t="s">
        <v>792</v>
      </c>
      <c r="C475" s="7" t="s">
        <v>793</v>
      </c>
      <c r="D475" s="6" t="s">
        <v>795</v>
      </c>
      <c r="E475" s="6" t="s">
        <v>450</v>
      </c>
      <c r="F475" s="6" t="s">
        <v>483</v>
      </c>
      <c r="G475" s="6" t="s">
        <v>452</v>
      </c>
    </row>
    <row r="476" spans="1:7" ht="28" customHeight="1">
      <c r="A476" s="8">
        <v>390</v>
      </c>
      <c r="B476" s="8" t="s">
        <v>792</v>
      </c>
      <c r="C476" s="9" t="s">
        <v>793</v>
      </c>
      <c r="D476" s="8" t="s">
        <v>323</v>
      </c>
      <c r="E476" s="8" t="s">
        <v>454</v>
      </c>
      <c r="F476" s="8" t="s">
        <v>455</v>
      </c>
      <c r="G476" s="8" t="s">
        <v>452</v>
      </c>
    </row>
    <row r="477" spans="1:7" ht="28" customHeight="1">
      <c r="A477" s="6">
        <v>391</v>
      </c>
      <c r="B477" s="6" t="s">
        <v>792</v>
      </c>
      <c r="C477" s="7" t="s">
        <v>793</v>
      </c>
      <c r="D477" s="6" t="s">
        <v>796</v>
      </c>
      <c r="E477" s="6" t="s">
        <v>454</v>
      </c>
      <c r="F477" s="6" t="s">
        <v>515</v>
      </c>
      <c r="G477" s="6" t="s">
        <v>452</v>
      </c>
    </row>
    <row r="478" spans="1:7" ht="28" customHeight="1">
      <c r="A478" s="8">
        <v>392</v>
      </c>
      <c r="B478" s="8" t="s">
        <v>792</v>
      </c>
      <c r="C478" s="9" t="s">
        <v>793</v>
      </c>
      <c r="D478" s="8" t="s">
        <v>797</v>
      </c>
      <c r="E478" s="8" t="s">
        <v>454</v>
      </c>
      <c r="F478" s="8" t="s">
        <v>515</v>
      </c>
      <c r="G478" s="8" t="s">
        <v>452</v>
      </c>
    </row>
    <row r="479" spans="1:7" ht="28" customHeight="1">
      <c r="A479" s="6">
        <v>393</v>
      </c>
      <c r="B479" s="6" t="s">
        <v>792</v>
      </c>
      <c r="C479" s="7" t="s">
        <v>793</v>
      </c>
      <c r="D479" s="6" t="s">
        <v>324</v>
      </c>
      <c r="E479" s="6" t="s">
        <v>457</v>
      </c>
      <c r="F479" s="6" t="s">
        <v>455</v>
      </c>
      <c r="G479" s="6" t="s">
        <v>452</v>
      </c>
    </row>
    <row r="480" spans="1:7" ht="28" customHeight="1">
      <c r="A480" s="8">
        <v>394</v>
      </c>
      <c r="B480" s="8" t="s">
        <v>792</v>
      </c>
      <c r="C480" s="9" t="s">
        <v>793</v>
      </c>
      <c r="D480" s="8" t="s">
        <v>798</v>
      </c>
      <c r="E480" s="8" t="s">
        <v>457</v>
      </c>
      <c r="F480" s="8" t="s">
        <v>455</v>
      </c>
      <c r="G480" s="8" t="s">
        <v>452</v>
      </c>
    </row>
    <row r="481" spans="1:7" ht="28" customHeight="1">
      <c r="A481" s="6">
        <v>395</v>
      </c>
      <c r="B481" s="6" t="s">
        <v>792</v>
      </c>
      <c r="C481" s="7" t="s">
        <v>793</v>
      </c>
      <c r="D481" s="6" t="s">
        <v>799</v>
      </c>
      <c r="E481" s="6" t="s">
        <v>457</v>
      </c>
      <c r="F481" s="6" t="s">
        <v>486</v>
      </c>
      <c r="G481" s="6" t="s">
        <v>452</v>
      </c>
    </row>
    <row r="482" spans="1:7" ht="28" customHeight="1">
      <c r="A482" s="8">
        <v>396</v>
      </c>
      <c r="B482" s="8" t="s">
        <v>792</v>
      </c>
      <c r="C482" s="9" t="s">
        <v>793</v>
      </c>
      <c r="D482" s="8" t="s">
        <v>1984</v>
      </c>
      <c r="E482" s="8" t="s">
        <v>462</v>
      </c>
      <c r="F482" s="8" t="s">
        <v>456</v>
      </c>
      <c r="G482" s="8" t="s">
        <v>452</v>
      </c>
    </row>
    <row r="483" spans="1:7" ht="28" customHeight="1">
      <c r="A483" s="6">
        <v>397</v>
      </c>
      <c r="B483" s="6" t="s">
        <v>792</v>
      </c>
      <c r="C483" s="7" t="s">
        <v>793</v>
      </c>
      <c r="D483" s="6" t="s">
        <v>1986</v>
      </c>
      <c r="E483" s="6" t="s">
        <v>462</v>
      </c>
      <c r="F483" s="6" t="s">
        <v>456</v>
      </c>
      <c r="G483" s="6" t="s">
        <v>452</v>
      </c>
    </row>
    <row r="484" spans="1:7" ht="28" customHeight="1">
      <c r="A484" s="8">
        <v>398</v>
      </c>
      <c r="B484" s="8" t="s">
        <v>792</v>
      </c>
      <c r="C484" s="9" t="s">
        <v>793</v>
      </c>
      <c r="D484" s="8" t="s">
        <v>325</v>
      </c>
      <c r="E484" s="8" t="s">
        <v>462</v>
      </c>
      <c r="F484" s="8" t="s">
        <v>456</v>
      </c>
      <c r="G484" s="8" t="s">
        <v>452</v>
      </c>
    </row>
    <row r="485" spans="1:7" ht="28" customHeight="1">
      <c r="A485" s="6">
        <v>399</v>
      </c>
      <c r="B485" s="6" t="s">
        <v>792</v>
      </c>
      <c r="C485" s="7" t="s">
        <v>793</v>
      </c>
      <c r="D485" s="6" t="s">
        <v>1989</v>
      </c>
      <c r="E485" s="6" t="s">
        <v>462</v>
      </c>
      <c r="F485" s="6" t="s">
        <v>455</v>
      </c>
      <c r="G485" s="6" t="s">
        <v>452</v>
      </c>
    </row>
    <row r="486" spans="1:7" ht="28" customHeight="1">
      <c r="A486" s="8">
        <v>400</v>
      </c>
      <c r="B486" s="8" t="s">
        <v>792</v>
      </c>
      <c r="C486" s="9" t="s">
        <v>793</v>
      </c>
      <c r="D486" s="8" t="s">
        <v>327</v>
      </c>
      <c r="E486" s="8" t="s">
        <v>462</v>
      </c>
      <c r="F486" s="8" t="s">
        <v>457</v>
      </c>
      <c r="G486" s="8" t="s">
        <v>452</v>
      </c>
    </row>
    <row r="487" spans="1:7" ht="28" customHeight="1">
      <c r="A487" s="6">
        <v>401</v>
      </c>
      <c r="B487" s="6" t="s">
        <v>792</v>
      </c>
      <c r="C487" s="7" t="s">
        <v>793</v>
      </c>
      <c r="D487" s="6" t="s">
        <v>1992</v>
      </c>
      <c r="E487" s="6" t="s">
        <v>460</v>
      </c>
      <c r="F487" s="6" t="s">
        <v>455</v>
      </c>
      <c r="G487" s="6" t="s">
        <v>452</v>
      </c>
    </row>
    <row r="488" spans="1:7" ht="28" customHeight="1">
      <c r="A488" s="8">
        <v>402</v>
      </c>
      <c r="B488" s="8" t="s">
        <v>792</v>
      </c>
      <c r="C488" s="9" t="s">
        <v>793</v>
      </c>
      <c r="D488" s="8" t="s">
        <v>1994</v>
      </c>
      <c r="E488" s="8" t="s">
        <v>460</v>
      </c>
      <c r="F488" s="8" t="s">
        <v>455</v>
      </c>
      <c r="G488" s="8" t="s">
        <v>452</v>
      </c>
    </row>
    <row r="489" spans="1:7" ht="28" customHeight="1">
      <c r="A489" s="6">
        <v>403</v>
      </c>
      <c r="B489" s="6" t="s">
        <v>792</v>
      </c>
      <c r="C489" s="7" t="s">
        <v>793</v>
      </c>
      <c r="D489" s="6" t="s">
        <v>329</v>
      </c>
      <c r="E489" s="6" t="s">
        <v>471</v>
      </c>
      <c r="F489" s="6" t="s">
        <v>455</v>
      </c>
      <c r="G489" s="6" t="s">
        <v>452</v>
      </c>
    </row>
    <row r="490" spans="1:7" ht="28" customHeight="1">
      <c r="A490" s="8">
        <v>404</v>
      </c>
      <c r="B490" s="8" t="s">
        <v>792</v>
      </c>
      <c r="C490" s="9" t="s">
        <v>793</v>
      </c>
      <c r="D490" s="8" t="s">
        <v>330</v>
      </c>
      <c r="E490" s="8" t="s">
        <v>471</v>
      </c>
      <c r="F490" s="8" t="s">
        <v>455</v>
      </c>
      <c r="G490" s="8" t="s">
        <v>452</v>
      </c>
    </row>
    <row r="491" spans="1:7" ht="28" customHeight="1">
      <c r="A491" s="6">
        <v>405</v>
      </c>
      <c r="B491" s="6" t="s">
        <v>792</v>
      </c>
      <c r="C491" s="7" t="s">
        <v>793</v>
      </c>
      <c r="D491" s="6" t="s">
        <v>331</v>
      </c>
      <c r="E491" s="6" t="s">
        <v>471</v>
      </c>
      <c r="F491" s="6" t="s">
        <v>455</v>
      </c>
      <c r="G491" s="6" t="s">
        <v>452</v>
      </c>
    </row>
    <row r="492" spans="1:7" ht="28" customHeight="1">
      <c r="A492" s="8">
        <v>406</v>
      </c>
      <c r="B492" s="8" t="s">
        <v>792</v>
      </c>
      <c r="C492" s="9" t="s">
        <v>793</v>
      </c>
      <c r="D492" s="8" t="s">
        <v>332</v>
      </c>
      <c r="E492" s="8" t="s">
        <v>450</v>
      </c>
      <c r="F492" s="8" t="s">
        <v>451</v>
      </c>
      <c r="G492" s="8" t="s">
        <v>452</v>
      </c>
    </row>
    <row r="493" spans="1:7" ht="28" customHeight="1">
      <c r="A493" s="6">
        <v>407</v>
      </c>
      <c r="B493" s="6" t="s">
        <v>792</v>
      </c>
      <c r="C493" s="7" t="s">
        <v>793</v>
      </c>
      <c r="D493" s="6" t="s">
        <v>334</v>
      </c>
      <c r="E493" s="6" t="s">
        <v>450</v>
      </c>
      <c r="F493" s="6" t="s">
        <v>451</v>
      </c>
      <c r="G493" s="6" t="s">
        <v>452</v>
      </c>
    </row>
    <row r="494" spans="1:7" ht="28" customHeight="1">
      <c r="A494" s="8">
        <v>408</v>
      </c>
      <c r="B494" s="8" t="s">
        <v>792</v>
      </c>
      <c r="C494" s="9" t="s">
        <v>793</v>
      </c>
      <c r="D494" s="8" t="s">
        <v>800</v>
      </c>
      <c r="E494" s="8" t="s">
        <v>519</v>
      </c>
      <c r="F494" s="8" t="s">
        <v>455</v>
      </c>
      <c r="G494" s="8" t="s">
        <v>452</v>
      </c>
    </row>
    <row r="495" spans="1:7" ht="28" customHeight="1">
      <c r="A495" s="6">
        <v>409</v>
      </c>
      <c r="B495" s="6" t="s">
        <v>792</v>
      </c>
      <c r="C495" s="7" t="s">
        <v>793</v>
      </c>
      <c r="D495" s="6" t="s">
        <v>801</v>
      </c>
      <c r="E495" s="6" t="s">
        <v>519</v>
      </c>
      <c r="F495" s="6" t="s">
        <v>455</v>
      </c>
      <c r="G495" s="6" t="s">
        <v>452</v>
      </c>
    </row>
    <row r="496" spans="1:7" ht="28" customHeight="1">
      <c r="A496" s="8">
        <v>410</v>
      </c>
      <c r="B496" s="8" t="s">
        <v>792</v>
      </c>
      <c r="C496" s="9" t="s">
        <v>793</v>
      </c>
      <c r="D496" s="8" t="s">
        <v>802</v>
      </c>
      <c r="E496" s="8" t="s">
        <v>519</v>
      </c>
      <c r="F496" s="8" t="s">
        <v>486</v>
      </c>
      <c r="G496" s="8" t="s">
        <v>452</v>
      </c>
    </row>
    <row r="497" spans="1:7" ht="28" customHeight="1">
      <c r="A497" s="6">
        <v>411</v>
      </c>
      <c r="B497" s="6" t="s">
        <v>792</v>
      </c>
      <c r="C497" s="7" t="s">
        <v>793</v>
      </c>
      <c r="D497" s="6" t="s">
        <v>803</v>
      </c>
      <c r="E497" s="6" t="s">
        <v>519</v>
      </c>
      <c r="F497" s="6" t="s">
        <v>486</v>
      </c>
      <c r="G497" s="6" t="s">
        <v>452</v>
      </c>
    </row>
    <row r="498" spans="1:7" ht="28" customHeight="1">
      <c r="A498" s="8">
        <v>412</v>
      </c>
      <c r="B498" s="8" t="s">
        <v>792</v>
      </c>
      <c r="C498" s="9" t="s">
        <v>793</v>
      </c>
      <c r="D498" s="8" t="s">
        <v>804</v>
      </c>
      <c r="E498" s="8" t="s">
        <v>460</v>
      </c>
      <c r="F498" s="8" t="s">
        <v>455</v>
      </c>
      <c r="G498" s="8" t="s">
        <v>452</v>
      </c>
    </row>
    <row r="499" spans="1:7" ht="28" customHeight="1">
      <c r="A499" s="8">
        <v>412</v>
      </c>
      <c r="B499" s="8" t="s">
        <v>792</v>
      </c>
      <c r="C499" s="9" t="s">
        <v>793</v>
      </c>
      <c r="D499" s="8" t="s">
        <v>805</v>
      </c>
      <c r="E499" s="8" t="s">
        <v>460</v>
      </c>
      <c r="F499" s="8" t="s">
        <v>455</v>
      </c>
      <c r="G499" s="8" t="s">
        <v>452</v>
      </c>
    </row>
    <row r="500" spans="1:7" ht="28" customHeight="1">
      <c r="A500" s="8">
        <v>412</v>
      </c>
      <c r="B500" s="8" t="s">
        <v>792</v>
      </c>
      <c r="C500" s="9" t="s">
        <v>793</v>
      </c>
      <c r="D500" s="8" t="s">
        <v>806</v>
      </c>
      <c r="E500" s="8" t="s">
        <v>460</v>
      </c>
      <c r="F500" s="8" t="s">
        <v>455</v>
      </c>
      <c r="G500" s="8" t="s">
        <v>452</v>
      </c>
    </row>
    <row r="501" spans="1:7" ht="28" customHeight="1">
      <c r="A501" s="6">
        <v>413</v>
      </c>
      <c r="B501" s="6" t="s">
        <v>792</v>
      </c>
      <c r="C501" s="7" t="s">
        <v>793</v>
      </c>
      <c r="D501" s="6" t="s">
        <v>807</v>
      </c>
      <c r="E501" s="6" t="s">
        <v>460</v>
      </c>
      <c r="F501" s="6" t="s">
        <v>450</v>
      </c>
      <c r="G501" s="6" t="s">
        <v>452</v>
      </c>
    </row>
    <row r="502" spans="1:7" ht="28" customHeight="1">
      <c r="A502" s="6">
        <v>413</v>
      </c>
      <c r="B502" s="6" t="s">
        <v>792</v>
      </c>
      <c r="C502" s="7" t="s">
        <v>793</v>
      </c>
      <c r="D502" s="6" t="s">
        <v>808</v>
      </c>
      <c r="E502" s="6" t="s">
        <v>460</v>
      </c>
      <c r="F502" s="6" t="s">
        <v>483</v>
      </c>
      <c r="G502" s="6" t="s">
        <v>452</v>
      </c>
    </row>
    <row r="503" spans="1:7" ht="28" customHeight="1">
      <c r="A503" s="6">
        <v>413</v>
      </c>
      <c r="B503" s="6" t="s">
        <v>792</v>
      </c>
      <c r="C503" s="7" t="s">
        <v>793</v>
      </c>
      <c r="D503" s="6" t="s">
        <v>809</v>
      </c>
      <c r="E503" s="6" t="s">
        <v>460</v>
      </c>
      <c r="F503" s="6" t="s">
        <v>486</v>
      </c>
      <c r="G503" s="6" t="s">
        <v>452</v>
      </c>
    </row>
    <row r="504" spans="1:7" ht="28" customHeight="1">
      <c r="A504" s="8">
        <v>414</v>
      </c>
      <c r="B504" s="8" t="s">
        <v>792</v>
      </c>
      <c r="C504" s="9" t="s">
        <v>793</v>
      </c>
      <c r="D504" s="8" t="s">
        <v>810</v>
      </c>
      <c r="E504" s="8" t="s">
        <v>460</v>
      </c>
      <c r="F504" s="8" t="s">
        <v>456</v>
      </c>
      <c r="G504" s="8" t="s">
        <v>452</v>
      </c>
    </row>
    <row r="505" spans="1:7" ht="28" customHeight="1">
      <c r="A505" s="6">
        <v>415</v>
      </c>
      <c r="B505" s="6" t="s">
        <v>792</v>
      </c>
      <c r="C505" s="7" t="s">
        <v>793</v>
      </c>
      <c r="D505" s="6" t="s">
        <v>2010</v>
      </c>
      <c r="E505" s="6" t="s">
        <v>460</v>
      </c>
      <c r="F505" s="6" t="s">
        <v>456</v>
      </c>
      <c r="G505" s="6" t="s">
        <v>452</v>
      </c>
    </row>
    <row r="506" spans="1:7" ht="28" customHeight="1">
      <c r="A506" s="8">
        <v>416</v>
      </c>
      <c r="B506" s="8" t="s">
        <v>792</v>
      </c>
      <c r="C506" s="9" t="s">
        <v>793</v>
      </c>
      <c r="D506" s="8" t="s">
        <v>811</v>
      </c>
      <c r="E506" s="8" t="s">
        <v>460</v>
      </c>
      <c r="F506" s="8" t="s">
        <v>456</v>
      </c>
      <c r="G506" s="8" t="s">
        <v>452</v>
      </c>
    </row>
    <row r="507" spans="1:7" ht="28" customHeight="1">
      <c r="A507" s="6">
        <v>417</v>
      </c>
      <c r="B507" s="6" t="s">
        <v>792</v>
      </c>
      <c r="C507" s="7" t="s">
        <v>793</v>
      </c>
      <c r="D507" s="6" t="s">
        <v>2013</v>
      </c>
      <c r="E507" s="6" t="s">
        <v>471</v>
      </c>
      <c r="F507" s="6" t="s">
        <v>455</v>
      </c>
      <c r="G507" s="6" t="s">
        <v>542</v>
      </c>
    </row>
    <row r="508" spans="1:7" ht="28" customHeight="1">
      <c r="A508" s="8">
        <v>418</v>
      </c>
      <c r="B508" s="8" t="s">
        <v>792</v>
      </c>
      <c r="C508" s="9" t="s">
        <v>793</v>
      </c>
      <c r="D508" s="8" t="s">
        <v>2015</v>
      </c>
      <c r="E508" s="8" t="s">
        <v>457</v>
      </c>
      <c r="F508" s="8" t="s">
        <v>455</v>
      </c>
      <c r="G508" s="8" t="s">
        <v>452</v>
      </c>
    </row>
    <row r="509" spans="1:7" ht="28" customHeight="1">
      <c r="A509" s="6">
        <v>419</v>
      </c>
      <c r="B509" s="6" t="s">
        <v>792</v>
      </c>
      <c r="C509" s="7" t="s">
        <v>793</v>
      </c>
      <c r="D509" s="6" t="s">
        <v>2017</v>
      </c>
      <c r="E509" s="6" t="s">
        <v>457</v>
      </c>
      <c r="F509" s="6" t="s">
        <v>455</v>
      </c>
      <c r="G509" s="6" t="s">
        <v>452</v>
      </c>
    </row>
    <row r="510" spans="1:7" ht="28" customHeight="1">
      <c r="A510" s="8">
        <v>420</v>
      </c>
      <c r="B510" s="8" t="s">
        <v>792</v>
      </c>
      <c r="C510" s="9" t="s">
        <v>793</v>
      </c>
      <c r="D510" s="8" t="s">
        <v>812</v>
      </c>
      <c r="E510" s="8" t="s">
        <v>450</v>
      </c>
      <c r="F510" s="8" t="s">
        <v>455</v>
      </c>
      <c r="G510" s="8" t="s">
        <v>452</v>
      </c>
    </row>
    <row r="511" spans="1:7" ht="28" customHeight="1">
      <c r="A511" s="6">
        <v>421</v>
      </c>
      <c r="B511" s="6" t="s">
        <v>792</v>
      </c>
      <c r="C511" s="7" t="s">
        <v>793</v>
      </c>
      <c r="D511" s="6" t="s">
        <v>813</v>
      </c>
      <c r="E511" s="6" t="s">
        <v>450</v>
      </c>
      <c r="F511" s="6" t="s">
        <v>455</v>
      </c>
      <c r="G511" s="6" t="s">
        <v>452</v>
      </c>
    </row>
    <row r="512" spans="1:7" ht="28" customHeight="1">
      <c r="A512" s="8">
        <v>422</v>
      </c>
      <c r="B512" s="8" t="s">
        <v>792</v>
      </c>
      <c r="C512" s="9" t="s">
        <v>793</v>
      </c>
      <c r="D512" s="8" t="s">
        <v>814</v>
      </c>
      <c r="E512" s="8" t="s">
        <v>457</v>
      </c>
      <c r="F512" s="8" t="s">
        <v>455</v>
      </c>
      <c r="G512" s="8" t="s">
        <v>452</v>
      </c>
    </row>
    <row r="513" spans="1:7" ht="28" customHeight="1">
      <c r="A513" s="8">
        <v>422</v>
      </c>
      <c r="B513" s="8" t="s">
        <v>792</v>
      </c>
      <c r="C513" s="9" t="s">
        <v>793</v>
      </c>
      <c r="D513" s="8" t="s">
        <v>814</v>
      </c>
      <c r="E513" s="8" t="s">
        <v>457</v>
      </c>
      <c r="F513" s="8" t="s">
        <v>455</v>
      </c>
      <c r="G513" s="8" t="s">
        <v>452</v>
      </c>
    </row>
    <row r="514" spans="1:7" ht="28" customHeight="1">
      <c r="A514" s="6">
        <v>423</v>
      </c>
      <c r="B514" s="6" t="s">
        <v>792</v>
      </c>
      <c r="C514" s="7" t="s">
        <v>793</v>
      </c>
      <c r="D514" s="6" t="s">
        <v>815</v>
      </c>
      <c r="E514" s="6" t="s">
        <v>457</v>
      </c>
      <c r="F514" s="6" t="s">
        <v>483</v>
      </c>
      <c r="G514" s="6" t="s">
        <v>452</v>
      </c>
    </row>
    <row r="515" spans="1:7" ht="28" customHeight="1">
      <c r="A515" s="6">
        <v>423</v>
      </c>
      <c r="B515" s="6" t="s">
        <v>792</v>
      </c>
      <c r="C515" s="7" t="s">
        <v>793</v>
      </c>
      <c r="D515" s="6" t="s">
        <v>815</v>
      </c>
      <c r="E515" s="6" t="s">
        <v>457</v>
      </c>
      <c r="F515" s="6" t="s">
        <v>483</v>
      </c>
      <c r="G515" s="6" t="s">
        <v>452</v>
      </c>
    </row>
    <row r="516" spans="1:7" ht="28" customHeight="1">
      <c r="A516" s="8">
        <v>424</v>
      </c>
      <c r="B516" s="8" t="s">
        <v>792</v>
      </c>
      <c r="C516" s="9" t="s">
        <v>793</v>
      </c>
      <c r="D516" s="8" t="s">
        <v>2023</v>
      </c>
      <c r="E516" s="8" t="s">
        <v>462</v>
      </c>
      <c r="F516" s="8" t="s">
        <v>455</v>
      </c>
      <c r="G516" s="8" t="s">
        <v>452</v>
      </c>
    </row>
    <row r="517" spans="1:7" ht="28" customHeight="1">
      <c r="A517" s="6">
        <v>425</v>
      </c>
      <c r="B517" s="6" t="s">
        <v>792</v>
      </c>
      <c r="C517" s="7" t="s">
        <v>793</v>
      </c>
      <c r="D517" s="6" t="s">
        <v>336</v>
      </c>
      <c r="E517" s="6" t="s">
        <v>552</v>
      </c>
      <c r="F517" s="6" t="s">
        <v>456</v>
      </c>
      <c r="G517" s="6" t="s">
        <v>452</v>
      </c>
    </row>
    <row r="518" spans="1:7" ht="28" customHeight="1">
      <c r="A518" s="8">
        <v>426</v>
      </c>
      <c r="B518" s="8" t="s">
        <v>792</v>
      </c>
      <c r="C518" s="9" t="s">
        <v>793</v>
      </c>
      <c r="D518" s="8" t="s">
        <v>816</v>
      </c>
      <c r="E518" s="8" t="s">
        <v>552</v>
      </c>
      <c r="F518" s="8" t="s">
        <v>456</v>
      </c>
      <c r="G518" s="8" t="s">
        <v>452</v>
      </c>
    </row>
    <row r="519" spans="1:7" ht="28" customHeight="1">
      <c r="A519" s="6">
        <v>427</v>
      </c>
      <c r="B519" s="6" t="s">
        <v>792</v>
      </c>
      <c r="C519" s="7" t="s">
        <v>793</v>
      </c>
      <c r="D519" s="6" t="s">
        <v>338</v>
      </c>
      <c r="E519" s="6" t="s">
        <v>462</v>
      </c>
      <c r="F519" s="6" t="s">
        <v>455</v>
      </c>
      <c r="G519" s="6" t="s">
        <v>452</v>
      </c>
    </row>
    <row r="520" spans="1:7" ht="28" customHeight="1">
      <c r="A520" s="8">
        <v>428</v>
      </c>
      <c r="B520" s="8" t="s">
        <v>792</v>
      </c>
      <c r="C520" s="9" t="s">
        <v>793</v>
      </c>
      <c r="D520" s="8" t="s">
        <v>340</v>
      </c>
      <c r="E520" s="8" t="s">
        <v>462</v>
      </c>
      <c r="F520" s="8" t="s">
        <v>455</v>
      </c>
      <c r="G520" s="8" t="s">
        <v>452</v>
      </c>
    </row>
    <row r="521" spans="1:7" ht="28" customHeight="1">
      <c r="A521" s="6">
        <v>429</v>
      </c>
      <c r="B521" s="6" t="s">
        <v>792</v>
      </c>
      <c r="C521" s="7" t="s">
        <v>793</v>
      </c>
      <c r="D521" s="6" t="s">
        <v>817</v>
      </c>
      <c r="E521" s="6" t="s">
        <v>552</v>
      </c>
      <c r="F521" s="6" t="s">
        <v>455</v>
      </c>
      <c r="G521" s="6" t="s">
        <v>452</v>
      </c>
    </row>
    <row r="522" spans="1:7" ht="28" customHeight="1">
      <c r="A522" s="8">
        <v>430</v>
      </c>
      <c r="B522" s="8" t="s">
        <v>792</v>
      </c>
      <c r="C522" s="9" t="s">
        <v>793</v>
      </c>
      <c r="D522" s="8" t="s">
        <v>818</v>
      </c>
      <c r="E522" s="8" t="s">
        <v>465</v>
      </c>
      <c r="F522" s="8" t="s">
        <v>456</v>
      </c>
      <c r="G522" s="8" t="s">
        <v>452</v>
      </c>
    </row>
    <row r="523" spans="1:7" ht="28" customHeight="1">
      <c r="A523" s="6">
        <v>431</v>
      </c>
      <c r="B523" s="6" t="s">
        <v>792</v>
      </c>
      <c r="C523" s="7" t="s">
        <v>793</v>
      </c>
      <c r="D523" s="6" t="s">
        <v>819</v>
      </c>
      <c r="E523" s="6" t="s">
        <v>462</v>
      </c>
      <c r="F523" s="6" t="s">
        <v>455</v>
      </c>
      <c r="G523" s="6" t="s">
        <v>452</v>
      </c>
    </row>
    <row r="524" spans="1:7" ht="28" customHeight="1">
      <c r="A524" s="8">
        <v>432</v>
      </c>
      <c r="B524" s="8" t="s">
        <v>792</v>
      </c>
      <c r="C524" s="9" t="s">
        <v>793</v>
      </c>
      <c r="D524" s="8" t="s">
        <v>820</v>
      </c>
      <c r="E524" s="8" t="s">
        <v>462</v>
      </c>
      <c r="F524" s="8" t="s">
        <v>455</v>
      </c>
      <c r="G524" s="8" t="s">
        <v>452</v>
      </c>
    </row>
    <row r="525" spans="1:7" ht="28" customHeight="1">
      <c r="A525" s="6">
        <v>433</v>
      </c>
      <c r="B525" s="6" t="s">
        <v>792</v>
      </c>
      <c r="C525" s="7" t="s">
        <v>793</v>
      </c>
      <c r="D525" s="6" t="s">
        <v>821</v>
      </c>
      <c r="E525" s="6" t="s">
        <v>481</v>
      </c>
      <c r="F525" s="6" t="s">
        <v>455</v>
      </c>
      <c r="G525" s="6" t="s">
        <v>452</v>
      </c>
    </row>
    <row r="526" spans="1:7" ht="28" customHeight="1">
      <c r="A526" s="8">
        <v>434</v>
      </c>
      <c r="B526" s="8" t="s">
        <v>792</v>
      </c>
      <c r="C526" s="9" t="s">
        <v>793</v>
      </c>
      <c r="D526" s="8" t="s">
        <v>822</v>
      </c>
      <c r="E526" s="8" t="s">
        <v>451</v>
      </c>
      <c r="F526" s="8" t="s">
        <v>465</v>
      </c>
      <c r="G526" s="8" t="s">
        <v>452</v>
      </c>
    </row>
    <row r="527" spans="1:7" ht="28" customHeight="1">
      <c r="A527" s="6">
        <v>435</v>
      </c>
      <c r="B527" s="6" t="s">
        <v>792</v>
      </c>
      <c r="C527" s="7" t="s">
        <v>793</v>
      </c>
      <c r="D527" s="6" t="s">
        <v>823</v>
      </c>
      <c r="E527" s="6" t="s">
        <v>451</v>
      </c>
      <c r="F527" s="6" t="s">
        <v>465</v>
      </c>
      <c r="G527" s="6" t="s">
        <v>452</v>
      </c>
    </row>
    <row r="528" spans="1:7" ht="28" customHeight="1">
      <c r="A528" s="8">
        <v>436</v>
      </c>
      <c r="B528" s="8" t="s">
        <v>792</v>
      </c>
      <c r="C528" s="9" t="s">
        <v>793</v>
      </c>
      <c r="D528" s="8" t="s">
        <v>342</v>
      </c>
      <c r="E528" s="8" t="s">
        <v>486</v>
      </c>
      <c r="F528" s="8" t="s">
        <v>481</v>
      </c>
      <c r="G528" s="8" t="s">
        <v>452</v>
      </c>
    </row>
    <row r="529" spans="1:7" ht="28" customHeight="1">
      <c r="A529" s="6">
        <v>437</v>
      </c>
      <c r="B529" s="6" t="s">
        <v>792</v>
      </c>
      <c r="C529" s="7" t="s">
        <v>793</v>
      </c>
      <c r="D529" s="6" t="s">
        <v>824</v>
      </c>
      <c r="E529" s="6" t="s">
        <v>486</v>
      </c>
      <c r="F529" s="6" t="s">
        <v>481</v>
      </c>
      <c r="G529" s="6" t="s">
        <v>452</v>
      </c>
    </row>
    <row r="530" spans="1:7" ht="28" customHeight="1">
      <c r="A530" s="8">
        <v>438</v>
      </c>
      <c r="B530" s="8" t="s">
        <v>792</v>
      </c>
      <c r="C530" s="9" t="s">
        <v>793</v>
      </c>
      <c r="D530" s="8" t="s">
        <v>825</v>
      </c>
      <c r="E530" s="8" t="s">
        <v>519</v>
      </c>
      <c r="F530" s="8" t="s">
        <v>455</v>
      </c>
      <c r="G530" s="8" t="s">
        <v>452</v>
      </c>
    </row>
    <row r="531" spans="1:7" ht="28" customHeight="1">
      <c r="A531" s="6">
        <v>439</v>
      </c>
      <c r="B531" s="6" t="s">
        <v>792</v>
      </c>
      <c r="C531" s="7" t="s">
        <v>793</v>
      </c>
      <c r="D531" s="6" t="s">
        <v>826</v>
      </c>
      <c r="E531" s="6" t="s">
        <v>481</v>
      </c>
      <c r="F531" s="6" t="s">
        <v>494</v>
      </c>
      <c r="G531" s="6" t="s">
        <v>452</v>
      </c>
    </row>
    <row r="532" spans="1:7" ht="28" customHeight="1">
      <c r="A532" s="8">
        <v>440</v>
      </c>
      <c r="B532" s="8" t="s">
        <v>792</v>
      </c>
      <c r="C532" s="9" t="s">
        <v>793</v>
      </c>
      <c r="D532" s="8" t="s">
        <v>827</v>
      </c>
      <c r="E532" s="8" t="s">
        <v>462</v>
      </c>
      <c r="F532" s="8" t="s">
        <v>455</v>
      </c>
      <c r="G532" s="8" t="s">
        <v>452</v>
      </c>
    </row>
    <row r="533" spans="1:7" ht="28" customHeight="1">
      <c r="A533" s="6">
        <v>441</v>
      </c>
      <c r="B533" s="6" t="s">
        <v>792</v>
      </c>
      <c r="C533" s="7" t="s">
        <v>793</v>
      </c>
      <c r="D533" s="6" t="s">
        <v>828</v>
      </c>
      <c r="E533" s="6" t="s">
        <v>462</v>
      </c>
      <c r="F533" s="6" t="s">
        <v>456</v>
      </c>
      <c r="G533" s="6" t="s">
        <v>542</v>
      </c>
    </row>
    <row r="534" spans="1:7" ht="28" customHeight="1">
      <c r="A534" s="8">
        <v>442</v>
      </c>
      <c r="B534" s="8" t="s">
        <v>792</v>
      </c>
      <c r="C534" s="9" t="s">
        <v>793</v>
      </c>
      <c r="D534" s="8" t="s">
        <v>829</v>
      </c>
      <c r="E534" s="8" t="s">
        <v>552</v>
      </c>
      <c r="F534" s="8" t="s">
        <v>465</v>
      </c>
      <c r="G534" s="8" t="s">
        <v>542</v>
      </c>
    </row>
    <row r="535" spans="1:7" ht="28" customHeight="1">
      <c r="A535" s="6">
        <v>443</v>
      </c>
      <c r="B535" s="6" t="s">
        <v>792</v>
      </c>
      <c r="C535" s="7" t="s">
        <v>793</v>
      </c>
      <c r="D535" s="6" t="s">
        <v>343</v>
      </c>
      <c r="E535" s="6" t="s">
        <v>561</v>
      </c>
      <c r="F535" s="6" t="s">
        <v>483</v>
      </c>
      <c r="G535" s="6" t="s">
        <v>452</v>
      </c>
    </row>
    <row r="536" spans="1:7" ht="28" customHeight="1">
      <c r="A536" s="8">
        <v>444</v>
      </c>
      <c r="B536" s="8" t="s">
        <v>792</v>
      </c>
      <c r="C536" s="9" t="s">
        <v>793</v>
      </c>
      <c r="D536" s="8" t="s">
        <v>345</v>
      </c>
      <c r="E536" s="8" t="s">
        <v>561</v>
      </c>
      <c r="F536" s="8" t="s">
        <v>483</v>
      </c>
      <c r="G536" s="8" t="s">
        <v>452</v>
      </c>
    </row>
    <row r="537" spans="1:7" ht="28" customHeight="1">
      <c r="A537" s="6">
        <v>445</v>
      </c>
      <c r="B537" s="6" t="s">
        <v>792</v>
      </c>
      <c r="C537" s="7" t="s">
        <v>793</v>
      </c>
      <c r="D537" s="6" t="s">
        <v>346</v>
      </c>
      <c r="E537" s="6" t="s">
        <v>561</v>
      </c>
      <c r="F537" s="6" t="s">
        <v>483</v>
      </c>
      <c r="G537" s="6" t="s">
        <v>452</v>
      </c>
    </row>
    <row r="538" spans="1:7" ht="28" customHeight="1">
      <c r="A538" s="8">
        <v>446</v>
      </c>
      <c r="B538" s="8" t="s">
        <v>792</v>
      </c>
      <c r="C538" s="9" t="s">
        <v>793</v>
      </c>
      <c r="D538" s="8" t="s">
        <v>830</v>
      </c>
      <c r="E538" s="8" t="s">
        <v>462</v>
      </c>
      <c r="F538" s="8" t="s">
        <v>455</v>
      </c>
      <c r="G538" s="8" t="s">
        <v>452</v>
      </c>
    </row>
    <row r="539" spans="1:7" ht="28" customHeight="1">
      <c r="A539" s="6">
        <v>447</v>
      </c>
      <c r="B539" s="6" t="s">
        <v>792</v>
      </c>
      <c r="C539" s="7" t="s">
        <v>793</v>
      </c>
      <c r="D539" s="6" t="s">
        <v>831</v>
      </c>
      <c r="E539" s="6" t="s">
        <v>515</v>
      </c>
      <c r="F539" s="6" t="s">
        <v>455</v>
      </c>
      <c r="G539" s="6" t="s">
        <v>452</v>
      </c>
    </row>
    <row r="540" spans="1:7" ht="28" customHeight="1">
      <c r="A540" s="8">
        <v>448</v>
      </c>
      <c r="B540" s="8" t="s">
        <v>792</v>
      </c>
      <c r="C540" s="9" t="s">
        <v>793</v>
      </c>
      <c r="D540" s="8" t="s">
        <v>348</v>
      </c>
      <c r="E540" s="8" t="s">
        <v>515</v>
      </c>
      <c r="F540" s="8" t="s">
        <v>486</v>
      </c>
      <c r="G540" s="8" t="s">
        <v>452</v>
      </c>
    </row>
    <row r="541" spans="1:7" ht="28" customHeight="1">
      <c r="A541" s="6">
        <v>449</v>
      </c>
      <c r="B541" s="6" t="s">
        <v>792</v>
      </c>
      <c r="C541" s="7" t="s">
        <v>793</v>
      </c>
      <c r="D541" s="6" t="s">
        <v>832</v>
      </c>
      <c r="E541" s="6" t="s">
        <v>483</v>
      </c>
      <c r="F541" s="6" t="s">
        <v>455</v>
      </c>
      <c r="G541" s="6" t="s">
        <v>452</v>
      </c>
    </row>
    <row r="542" spans="1:7" ht="28" customHeight="1">
      <c r="A542" s="6">
        <v>449</v>
      </c>
      <c r="B542" s="6" t="s">
        <v>792</v>
      </c>
      <c r="C542" s="7" t="s">
        <v>793</v>
      </c>
      <c r="D542" s="6" t="s">
        <v>832</v>
      </c>
      <c r="E542" s="6" t="s">
        <v>483</v>
      </c>
      <c r="F542" s="6" t="s">
        <v>455</v>
      </c>
      <c r="G542" s="6" t="s">
        <v>452</v>
      </c>
    </row>
    <row r="543" spans="1:7" ht="28" customHeight="1">
      <c r="A543" s="8">
        <v>450</v>
      </c>
      <c r="B543" s="8" t="s">
        <v>792</v>
      </c>
      <c r="C543" s="9" t="s">
        <v>793</v>
      </c>
      <c r="D543" s="8" t="s">
        <v>833</v>
      </c>
      <c r="E543" s="8" t="s">
        <v>483</v>
      </c>
      <c r="F543" s="8" t="s">
        <v>455</v>
      </c>
      <c r="G543" s="8" t="s">
        <v>452</v>
      </c>
    </row>
    <row r="544" spans="1:7" ht="28" customHeight="1">
      <c r="A544" s="8">
        <v>450</v>
      </c>
      <c r="B544" s="8" t="s">
        <v>792</v>
      </c>
      <c r="C544" s="9" t="s">
        <v>793</v>
      </c>
      <c r="D544" s="8" t="s">
        <v>833</v>
      </c>
      <c r="E544" s="8" t="s">
        <v>483</v>
      </c>
      <c r="F544" s="8" t="s">
        <v>455</v>
      </c>
      <c r="G544" s="8" t="s">
        <v>452</v>
      </c>
    </row>
    <row r="545" spans="1:7" ht="28" customHeight="1">
      <c r="A545" s="6">
        <v>451</v>
      </c>
      <c r="B545" s="6" t="s">
        <v>792</v>
      </c>
      <c r="C545" s="7" t="s">
        <v>793</v>
      </c>
      <c r="D545" s="6" t="s">
        <v>834</v>
      </c>
      <c r="E545" s="6" t="s">
        <v>451</v>
      </c>
      <c r="F545" s="6" t="s">
        <v>460</v>
      </c>
      <c r="G545" s="6" t="s">
        <v>452</v>
      </c>
    </row>
    <row r="546" spans="1:7" ht="28" customHeight="1">
      <c r="A546" s="8">
        <v>452</v>
      </c>
      <c r="B546" s="8" t="s">
        <v>792</v>
      </c>
      <c r="C546" s="9" t="s">
        <v>793</v>
      </c>
      <c r="D546" s="8" t="s">
        <v>352</v>
      </c>
      <c r="E546" s="8" t="s">
        <v>451</v>
      </c>
      <c r="F546" s="8" t="s">
        <v>465</v>
      </c>
      <c r="G546" s="8" t="s">
        <v>452</v>
      </c>
    </row>
    <row r="547" spans="1:7" ht="28" customHeight="1">
      <c r="A547" s="6">
        <v>453</v>
      </c>
      <c r="B547" s="6" t="s">
        <v>792</v>
      </c>
      <c r="C547" s="7" t="s">
        <v>793</v>
      </c>
      <c r="D547" s="6" t="s">
        <v>2054</v>
      </c>
      <c r="E547" s="6" t="s">
        <v>451</v>
      </c>
      <c r="F547" s="6" t="s">
        <v>515</v>
      </c>
      <c r="G547" s="6" t="s">
        <v>452</v>
      </c>
    </row>
    <row r="548" spans="1:7" ht="28" customHeight="1">
      <c r="A548" s="8">
        <v>454</v>
      </c>
      <c r="B548" s="8" t="s">
        <v>792</v>
      </c>
      <c r="C548" s="9" t="s">
        <v>793</v>
      </c>
      <c r="D548" s="8" t="s">
        <v>2056</v>
      </c>
      <c r="E548" s="8" t="s">
        <v>451</v>
      </c>
      <c r="F548" s="8" t="s">
        <v>515</v>
      </c>
      <c r="G548" s="8" t="s">
        <v>452</v>
      </c>
    </row>
    <row r="549" spans="1:7" ht="28" customHeight="1">
      <c r="A549" s="6">
        <v>455</v>
      </c>
      <c r="B549" s="6" t="s">
        <v>792</v>
      </c>
      <c r="C549" s="7" t="s">
        <v>793</v>
      </c>
      <c r="D549" s="6" t="s">
        <v>354</v>
      </c>
      <c r="E549" s="6" t="s">
        <v>450</v>
      </c>
      <c r="F549" s="6" t="s">
        <v>455</v>
      </c>
      <c r="G549" s="6" t="s">
        <v>542</v>
      </c>
    </row>
    <row r="550" spans="1:7" ht="28" customHeight="1">
      <c r="A550" s="8">
        <v>456</v>
      </c>
      <c r="B550" s="8" t="s">
        <v>792</v>
      </c>
      <c r="C550" s="9" t="s">
        <v>793</v>
      </c>
      <c r="D550" s="8" t="s">
        <v>2561</v>
      </c>
      <c r="E550" s="8" t="s">
        <v>457</v>
      </c>
      <c r="F550" s="8" t="s">
        <v>455</v>
      </c>
      <c r="G550" s="8" t="s">
        <v>452</v>
      </c>
    </row>
    <row r="551" spans="1:7" ht="28" customHeight="1">
      <c r="A551" s="6">
        <v>457</v>
      </c>
      <c r="B551" s="6" t="s">
        <v>792</v>
      </c>
      <c r="C551" s="7" t="s">
        <v>793</v>
      </c>
      <c r="D551" s="6" t="s">
        <v>2061</v>
      </c>
      <c r="E551" s="6" t="s">
        <v>457</v>
      </c>
      <c r="F551" s="6" t="s">
        <v>455</v>
      </c>
      <c r="G551" s="6" t="s">
        <v>452</v>
      </c>
    </row>
    <row r="552" spans="1:7" ht="28" customHeight="1">
      <c r="A552" s="8">
        <v>458</v>
      </c>
      <c r="B552" s="8" t="s">
        <v>792</v>
      </c>
      <c r="C552" s="9" t="s">
        <v>793</v>
      </c>
      <c r="D552" s="8" t="s">
        <v>835</v>
      </c>
      <c r="E552" s="8" t="s">
        <v>457</v>
      </c>
      <c r="F552" s="8" t="s">
        <v>456</v>
      </c>
      <c r="G552" s="8" t="s">
        <v>452</v>
      </c>
    </row>
    <row r="553" spans="1:7" ht="28" customHeight="1">
      <c r="A553" s="6">
        <v>459</v>
      </c>
      <c r="B553" s="6" t="s">
        <v>792</v>
      </c>
      <c r="C553" s="7" t="s">
        <v>793</v>
      </c>
      <c r="D553" s="6" t="s">
        <v>2064</v>
      </c>
      <c r="E553" s="6" t="s">
        <v>450</v>
      </c>
      <c r="F553" s="6" t="s">
        <v>485</v>
      </c>
      <c r="G553" s="6" t="s">
        <v>452</v>
      </c>
    </row>
    <row r="554" spans="1:7" ht="28" customHeight="1">
      <c r="A554" s="8">
        <v>460</v>
      </c>
      <c r="B554" s="8" t="s">
        <v>792</v>
      </c>
      <c r="C554" s="9" t="s">
        <v>793</v>
      </c>
      <c r="D554" s="8" t="s">
        <v>2066</v>
      </c>
      <c r="E554" s="8" t="s">
        <v>450</v>
      </c>
      <c r="F554" s="8" t="s">
        <v>485</v>
      </c>
      <c r="G554" s="8" t="s">
        <v>452</v>
      </c>
    </row>
    <row r="555" spans="1:7" ht="28" customHeight="1">
      <c r="A555" s="6">
        <v>461</v>
      </c>
      <c r="B555" s="6" t="s">
        <v>792</v>
      </c>
      <c r="C555" s="7" t="s">
        <v>793</v>
      </c>
      <c r="D555" s="6" t="s">
        <v>2068</v>
      </c>
      <c r="E555" s="6" t="s">
        <v>465</v>
      </c>
      <c r="F555" s="6" t="s">
        <v>485</v>
      </c>
      <c r="G555" s="6" t="s">
        <v>452</v>
      </c>
    </row>
    <row r="556" spans="1:7" ht="28" customHeight="1">
      <c r="A556" s="8">
        <v>462</v>
      </c>
      <c r="B556" s="8" t="s">
        <v>792</v>
      </c>
      <c r="C556" s="9" t="s">
        <v>793</v>
      </c>
      <c r="D556" s="8" t="s">
        <v>836</v>
      </c>
      <c r="E556" s="8" t="s">
        <v>471</v>
      </c>
      <c r="F556" s="8" t="s">
        <v>486</v>
      </c>
      <c r="G556" s="8" t="s">
        <v>452</v>
      </c>
    </row>
    <row r="557" spans="1:7" ht="28" customHeight="1">
      <c r="A557" s="6">
        <v>463</v>
      </c>
      <c r="B557" s="6" t="s">
        <v>792</v>
      </c>
      <c r="C557" s="7" t="s">
        <v>793</v>
      </c>
      <c r="D557" s="6" t="s">
        <v>837</v>
      </c>
      <c r="E557" s="6" t="s">
        <v>462</v>
      </c>
      <c r="F557" s="6" t="s">
        <v>455</v>
      </c>
      <c r="G557" s="6" t="s">
        <v>452</v>
      </c>
    </row>
    <row r="558" spans="1:7" ht="28" customHeight="1">
      <c r="A558" s="8">
        <v>464</v>
      </c>
      <c r="B558" s="8" t="s">
        <v>792</v>
      </c>
      <c r="C558" s="9" t="s">
        <v>793</v>
      </c>
      <c r="D558" s="8" t="s">
        <v>357</v>
      </c>
      <c r="E558" s="8" t="s">
        <v>483</v>
      </c>
      <c r="F558" s="8" t="s">
        <v>519</v>
      </c>
      <c r="G558" s="8" t="s">
        <v>452</v>
      </c>
    </row>
    <row r="559" spans="1:7" ht="28" customHeight="1">
      <c r="A559" s="6">
        <v>465</v>
      </c>
      <c r="B559" s="6" t="s">
        <v>792</v>
      </c>
      <c r="C559" s="7" t="s">
        <v>793</v>
      </c>
      <c r="D559" s="6" t="s">
        <v>2073</v>
      </c>
      <c r="E559" s="6" t="s">
        <v>450</v>
      </c>
      <c r="F559" s="6" t="s">
        <v>455</v>
      </c>
      <c r="G559" s="6" t="s">
        <v>452</v>
      </c>
    </row>
    <row r="560" spans="1:7" ht="28" customHeight="1">
      <c r="A560" s="8">
        <v>466</v>
      </c>
      <c r="B560" s="8" t="s">
        <v>792</v>
      </c>
      <c r="C560" s="9" t="s">
        <v>793</v>
      </c>
      <c r="D560" s="8" t="s">
        <v>358</v>
      </c>
      <c r="E560" s="8" t="s">
        <v>471</v>
      </c>
      <c r="F560" s="8" t="s">
        <v>455</v>
      </c>
      <c r="G560" s="8" t="s">
        <v>452</v>
      </c>
    </row>
    <row r="561" spans="1:7" ht="28" customHeight="1">
      <c r="A561" s="6">
        <v>467</v>
      </c>
      <c r="B561" s="6" t="s">
        <v>792</v>
      </c>
      <c r="C561" s="7" t="s">
        <v>793</v>
      </c>
      <c r="D561" s="6" t="s">
        <v>359</v>
      </c>
      <c r="E561" s="6" t="s">
        <v>454</v>
      </c>
      <c r="F561" s="6" t="s">
        <v>455</v>
      </c>
      <c r="G561" s="6" t="s">
        <v>452</v>
      </c>
    </row>
    <row r="562" spans="1:7" ht="28" customHeight="1">
      <c r="A562" s="8">
        <v>468</v>
      </c>
      <c r="B562" s="8" t="s">
        <v>792</v>
      </c>
      <c r="C562" s="9" t="s">
        <v>793</v>
      </c>
      <c r="D562" s="8" t="s">
        <v>838</v>
      </c>
      <c r="E562" s="8" t="s">
        <v>494</v>
      </c>
      <c r="F562" s="8" t="s">
        <v>456</v>
      </c>
      <c r="G562" s="8" t="s">
        <v>452</v>
      </c>
    </row>
    <row r="563" spans="1:7" ht="28" customHeight="1">
      <c r="A563" s="6">
        <v>469</v>
      </c>
      <c r="B563" s="6" t="s">
        <v>792</v>
      </c>
      <c r="C563" s="7" t="s">
        <v>793</v>
      </c>
      <c r="D563" s="6" t="s">
        <v>839</v>
      </c>
      <c r="E563" s="6" t="s">
        <v>460</v>
      </c>
      <c r="F563" s="6" t="s">
        <v>456</v>
      </c>
      <c r="G563" s="6" t="s">
        <v>452</v>
      </c>
    </row>
    <row r="564" spans="1:7" ht="28" customHeight="1">
      <c r="A564" s="8">
        <v>470</v>
      </c>
      <c r="B564" s="8" t="s">
        <v>792</v>
      </c>
      <c r="C564" s="9" t="s">
        <v>793</v>
      </c>
      <c r="D564" s="8" t="s">
        <v>840</v>
      </c>
      <c r="E564" s="8" t="s">
        <v>450</v>
      </c>
      <c r="F564" s="8" t="s">
        <v>455</v>
      </c>
      <c r="G564" s="8" t="s">
        <v>452</v>
      </c>
    </row>
    <row r="565" spans="1:7" ht="28" customHeight="1">
      <c r="A565" s="6">
        <v>471</v>
      </c>
      <c r="B565" s="6" t="s">
        <v>792</v>
      </c>
      <c r="C565" s="7" t="s">
        <v>793</v>
      </c>
      <c r="D565" s="6" t="s">
        <v>841</v>
      </c>
      <c r="E565" s="6" t="s">
        <v>485</v>
      </c>
      <c r="F565" s="6" t="s">
        <v>455</v>
      </c>
      <c r="G565" s="6" t="s">
        <v>452</v>
      </c>
    </row>
    <row r="566" spans="1:7" ht="28" customHeight="1">
      <c r="A566" s="8">
        <v>472</v>
      </c>
      <c r="B566" s="8" t="s">
        <v>792</v>
      </c>
      <c r="C566" s="9" t="s">
        <v>793</v>
      </c>
      <c r="D566" s="8" t="s">
        <v>842</v>
      </c>
      <c r="E566" s="8" t="s">
        <v>483</v>
      </c>
      <c r="F566" s="8" t="s">
        <v>456</v>
      </c>
      <c r="G566" s="8" t="s">
        <v>452</v>
      </c>
    </row>
    <row r="567" spans="1:7" ht="28" customHeight="1">
      <c r="A567" s="6">
        <v>473</v>
      </c>
      <c r="B567" s="6" t="s">
        <v>792</v>
      </c>
      <c r="C567" s="7" t="s">
        <v>793</v>
      </c>
      <c r="D567" s="6" t="s">
        <v>2082</v>
      </c>
      <c r="E567" s="6" t="s">
        <v>485</v>
      </c>
      <c r="F567" s="6" t="s">
        <v>483</v>
      </c>
      <c r="G567" s="6" t="s">
        <v>452</v>
      </c>
    </row>
    <row r="568" spans="1:7" ht="28" customHeight="1">
      <c r="A568" s="8">
        <v>474</v>
      </c>
      <c r="B568" s="8" t="s">
        <v>792</v>
      </c>
      <c r="C568" s="9" t="s">
        <v>793</v>
      </c>
      <c r="D568" s="8" t="s">
        <v>361</v>
      </c>
      <c r="E568" s="8" t="s">
        <v>462</v>
      </c>
      <c r="F568" s="8" t="s">
        <v>455</v>
      </c>
      <c r="G568" s="8" t="s">
        <v>452</v>
      </c>
    </row>
    <row r="569" spans="1:7" ht="28" customHeight="1">
      <c r="A569" s="6">
        <v>475</v>
      </c>
      <c r="B569" s="6" t="s">
        <v>792</v>
      </c>
      <c r="C569" s="7" t="s">
        <v>793</v>
      </c>
      <c r="D569" s="6" t="s">
        <v>843</v>
      </c>
      <c r="E569" s="6" t="s">
        <v>481</v>
      </c>
      <c r="F569" s="6" t="s">
        <v>515</v>
      </c>
      <c r="G569" s="6" t="s">
        <v>452</v>
      </c>
    </row>
    <row r="570" spans="1:7" ht="28" customHeight="1">
      <c r="A570" s="8">
        <v>476</v>
      </c>
      <c r="B570" s="8" t="s">
        <v>792</v>
      </c>
      <c r="C570" s="9" t="s">
        <v>793</v>
      </c>
      <c r="D570" s="8" t="s">
        <v>844</v>
      </c>
      <c r="E570" s="8" t="s">
        <v>519</v>
      </c>
      <c r="F570" s="8" t="s">
        <v>486</v>
      </c>
      <c r="G570" s="8" t="s">
        <v>452</v>
      </c>
    </row>
    <row r="571" spans="1:7" ht="28" customHeight="1">
      <c r="A571" s="6">
        <v>477</v>
      </c>
      <c r="B571" s="6" t="s">
        <v>792</v>
      </c>
      <c r="C571" s="7" t="s">
        <v>793</v>
      </c>
      <c r="D571" s="6" t="s">
        <v>363</v>
      </c>
      <c r="E571" s="6" t="s">
        <v>552</v>
      </c>
      <c r="F571" s="6" t="s">
        <v>455</v>
      </c>
      <c r="G571" s="6" t="s">
        <v>452</v>
      </c>
    </row>
    <row r="572" spans="1:7" ht="28" customHeight="1">
      <c r="A572" s="8">
        <v>478</v>
      </c>
      <c r="B572" s="8" t="s">
        <v>792</v>
      </c>
      <c r="C572" s="9" t="s">
        <v>793</v>
      </c>
      <c r="D572" s="8" t="s">
        <v>845</v>
      </c>
      <c r="E572" s="8" t="s">
        <v>485</v>
      </c>
      <c r="F572" s="8" t="s">
        <v>552</v>
      </c>
      <c r="G572" s="8" t="s">
        <v>452</v>
      </c>
    </row>
    <row r="573" spans="1:7" ht="28" customHeight="1">
      <c r="A573" s="6">
        <v>479</v>
      </c>
      <c r="B573" s="6" t="s">
        <v>792</v>
      </c>
      <c r="C573" s="7" t="s">
        <v>793</v>
      </c>
      <c r="D573" s="6" t="s">
        <v>846</v>
      </c>
      <c r="E573" s="6" t="s">
        <v>471</v>
      </c>
      <c r="F573" s="6" t="s">
        <v>552</v>
      </c>
      <c r="G573" s="6" t="s">
        <v>542</v>
      </c>
    </row>
    <row r="574" spans="1:7" ht="28" customHeight="1">
      <c r="A574" s="6">
        <v>479</v>
      </c>
      <c r="B574" s="6" t="s">
        <v>792</v>
      </c>
      <c r="C574" s="7" t="s">
        <v>793</v>
      </c>
      <c r="D574" s="6" t="s">
        <v>847</v>
      </c>
      <c r="E574" s="6" t="s">
        <v>471</v>
      </c>
      <c r="F574" s="6" t="s">
        <v>454</v>
      </c>
      <c r="G574" s="6" t="s">
        <v>542</v>
      </c>
    </row>
    <row r="575" spans="1:7" ht="28" customHeight="1">
      <c r="A575" s="6">
        <v>479</v>
      </c>
      <c r="B575" s="6" t="s">
        <v>792</v>
      </c>
      <c r="C575" s="7" t="s">
        <v>793</v>
      </c>
      <c r="D575" s="6" t="s">
        <v>848</v>
      </c>
      <c r="E575" s="6" t="s">
        <v>471</v>
      </c>
      <c r="F575" s="6" t="s">
        <v>457</v>
      </c>
      <c r="G575" s="6" t="s">
        <v>542</v>
      </c>
    </row>
    <row r="576" spans="1:7" ht="28" customHeight="1">
      <c r="A576" s="6">
        <v>479</v>
      </c>
      <c r="B576" s="6" t="s">
        <v>792</v>
      </c>
      <c r="C576" s="7" t="s">
        <v>793</v>
      </c>
      <c r="D576" s="6" t="s">
        <v>849</v>
      </c>
      <c r="E576" s="6" t="s">
        <v>471</v>
      </c>
      <c r="F576" s="6" t="s">
        <v>485</v>
      </c>
      <c r="G576" s="6" t="s">
        <v>542</v>
      </c>
    </row>
    <row r="577" spans="1:7" ht="28" customHeight="1">
      <c r="A577" s="6">
        <v>479</v>
      </c>
      <c r="B577" s="6" t="s">
        <v>792</v>
      </c>
      <c r="C577" s="7" t="s">
        <v>793</v>
      </c>
      <c r="D577" s="6" t="s">
        <v>850</v>
      </c>
      <c r="E577" s="6" t="s">
        <v>471</v>
      </c>
      <c r="F577" s="6" t="s">
        <v>456</v>
      </c>
      <c r="G577" s="6" t="s">
        <v>542</v>
      </c>
    </row>
    <row r="578" spans="1:7" ht="28" customHeight="1">
      <c r="A578" s="6">
        <v>479</v>
      </c>
      <c r="B578" s="6" t="s">
        <v>792</v>
      </c>
      <c r="C578" s="7" t="s">
        <v>793</v>
      </c>
      <c r="D578" s="6" t="s">
        <v>851</v>
      </c>
      <c r="E578" s="6" t="s">
        <v>471</v>
      </c>
      <c r="F578" s="6" t="s">
        <v>450</v>
      </c>
      <c r="G578" s="6" t="s">
        <v>542</v>
      </c>
    </row>
    <row r="579" spans="1:7" ht="28" customHeight="1">
      <c r="A579" s="8">
        <v>480</v>
      </c>
      <c r="B579" s="8" t="s">
        <v>792</v>
      </c>
      <c r="C579" s="9" t="s">
        <v>793</v>
      </c>
      <c r="D579" s="8" t="s">
        <v>852</v>
      </c>
      <c r="E579" s="8" t="s">
        <v>481</v>
      </c>
      <c r="F579" s="8" t="s">
        <v>455</v>
      </c>
      <c r="G579" s="8" t="s">
        <v>542</v>
      </c>
    </row>
    <row r="580" spans="1:7" ht="28" customHeight="1">
      <c r="A580" s="6">
        <v>481</v>
      </c>
      <c r="B580" s="6" t="s">
        <v>792</v>
      </c>
      <c r="C580" s="7" t="s">
        <v>793</v>
      </c>
      <c r="D580" s="6" t="s">
        <v>853</v>
      </c>
      <c r="E580" s="6" t="s">
        <v>481</v>
      </c>
      <c r="F580" s="6" t="s">
        <v>455</v>
      </c>
      <c r="G580" s="6" t="s">
        <v>542</v>
      </c>
    </row>
    <row r="581" spans="1:7" ht="28" customHeight="1">
      <c r="A581" s="8">
        <v>482</v>
      </c>
      <c r="B581" s="8" t="s">
        <v>792</v>
      </c>
      <c r="C581" s="9" t="s">
        <v>793</v>
      </c>
      <c r="D581" s="8" t="s">
        <v>854</v>
      </c>
      <c r="E581" s="8" t="s">
        <v>481</v>
      </c>
      <c r="F581" s="8" t="s">
        <v>455</v>
      </c>
      <c r="G581" s="8" t="s">
        <v>542</v>
      </c>
    </row>
    <row r="582" spans="1:7" ht="28" customHeight="1">
      <c r="A582" s="6">
        <v>483</v>
      </c>
      <c r="B582" s="6" t="s">
        <v>792</v>
      </c>
      <c r="C582" s="7" t="s">
        <v>793</v>
      </c>
      <c r="D582" s="6" t="s">
        <v>364</v>
      </c>
      <c r="E582" s="6" t="s">
        <v>486</v>
      </c>
      <c r="F582" s="6" t="s">
        <v>561</v>
      </c>
      <c r="G582" s="6" t="s">
        <v>542</v>
      </c>
    </row>
    <row r="583" spans="1:7" ht="28" customHeight="1">
      <c r="A583" s="8">
        <v>484</v>
      </c>
      <c r="B583" s="8" t="s">
        <v>792</v>
      </c>
      <c r="C583" s="9" t="s">
        <v>793</v>
      </c>
      <c r="D583" s="8" t="s">
        <v>366</v>
      </c>
      <c r="E583" s="8" t="s">
        <v>457</v>
      </c>
      <c r="F583" s="8" t="s">
        <v>561</v>
      </c>
      <c r="G583" s="8" t="s">
        <v>542</v>
      </c>
    </row>
    <row r="584" spans="1:7" ht="28" customHeight="1">
      <c r="A584" s="6">
        <v>485</v>
      </c>
      <c r="B584" s="6" t="s">
        <v>792</v>
      </c>
      <c r="C584" s="7" t="s">
        <v>793</v>
      </c>
      <c r="D584" s="6" t="s">
        <v>855</v>
      </c>
      <c r="E584" s="6" t="s">
        <v>454</v>
      </c>
      <c r="F584" s="6" t="s">
        <v>486</v>
      </c>
      <c r="G584" s="6" t="s">
        <v>542</v>
      </c>
    </row>
    <row r="585" spans="1:7" ht="28" customHeight="1">
      <c r="A585" s="8">
        <v>486</v>
      </c>
      <c r="B585" s="8" t="s">
        <v>792</v>
      </c>
      <c r="C585" s="9" t="s">
        <v>793</v>
      </c>
      <c r="D585" s="8" t="s">
        <v>856</v>
      </c>
      <c r="E585" s="8" t="s">
        <v>462</v>
      </c>
      <c r="F585" s="8" t="s">
        <v>455</v>
      </c>
      <c r="G585" s="8" t="s">
        <v>542</v>
      </c>
    </row>
    <row r="586" spans="1:7" ht="28" customHeight="1">
      <c r="A586" s="6">
        <v>487</v>
      </c>
      <c r="B586" s="6" t="s">
        <v>792</v>
      </c>
      <c r="C586" s="7" t="s">
        <v>793</v>
      </c>
      <c r="D586" s="6" t="s">
        <v>367</v>
      </c>
      <c r="E586" s="6" t="s">
        <v>552</v>
      </c>
      <c r="F586" s="6" t="s">
        <v>561</v>
      </c>
      <c r="G586" s="6" t="s">
        <v>542</v>
      </c>
    </row>
    <row r="587" spans="1:7" ht="28" customHeight="1">
      <c r="A587" s="8">
        <v>488</v>
      </c>
      <c r="B587" s="8" t="s">
        <v>792</v>
      </c>
      <c r="C587" s="9" t="s">
        <v>793</v>
      </c>
      <c r="D587" s="8" t="s">
        <v>857</v>
      </c>
      <c r="E587" s="8" t="s">
        <v>481</v>
      </c>
      <c r="F587" s="8" t="s">
        <v>455</v>
      </c>
      <c r="G587" s="8" t="s">
        <v>542</v>
      </c>
    </row>
    <row r="588" spans="1:7" ht="28" customHeight="1">
      <c r="A588" s="6">
        <v>489</v>
      </c>
      <c r="B588" s="6" t="s">
        <v>792</v>
      </c>
      <c r="C588" s="7" t="s">
        <v>793</v>
      </c>
      <c r="D588" s="6" t="s">
        <v>858</v>
      </c>
      <c r="E588" s="6" t="s">
        <v>457</v>
      </c>
      <c r="F588" s="6" t="s">
        <v>455</v>
      </c>
      <c r="G588" s="6" t="s">
        <v>542</v>
      </c>
    </row>
    <row r="589" spans="1:7" ht="28" customHeight="1">
      <c r="A589" s="8">
        <v>490</v>
      </c>
      <c r="B589" s="8" t="s">
        <v>792</v>
      </c>
      <c r="C589" s="9" t="s">
        <v>793</v>
      </c>
      <c r="D589" s="8" t="s">
        <v>859</v>
      </c>
      <c r="E589" s="8" t="s">
        <v>457</v>
      </c>
      <c r="F589" s="8" t="s">
        <v>455</v>
      </c>
      <c r="G589" s="8" t="s">
        <v>542</v>
      </c>
    </row>
    <row r="590" spans="1:7" ht="28" customHeight="1">
      <c r="A590" s="6">
        <v>491</v>
      </c>
      <c r="B590" s="6" t="s">
        <v>792</v>
      </c>
      <c r="C590" s="7" t="s">
        <v>793</v>
      </c>
      <c r="D590" s="6" t="s">
        <v>860</v>
      </c>
      <c r="E590" s="6" t="s">
        <v>465</v>
      </c>
      <c r="F590" s="6" t="s">
        <v>455</v>
      </c>
      <c r="G590" s="6" t="s">
        <v>542</v>
      </c>
    </row>
    <row r="591" spans="1:7" ht="28" customHeight="1">
      <c r="A591" s="8">
        <v>492</v>
      </c>
      <c r="B591" s="8" t="s">
        <v>792</v>
      </c>
      <c r="C591" s="9" t="s">
        <v>793</v>
      </c>
      <c r="D591" s="8" t="s">
        <v>861</v>
      </c>
      <c r="E591" s="8" t="s">
        <v>450</v>
      </c>
      <c r="F591" s="8" t="s">
        <v>455</v>
      </c>
      <c r="G591" s="8" t="s">
        <v>542</v>
      </c>
    </row>
    <row r="592" spans="1:7" ht="28" customHeight="1">
      <c r="A592" s="8">
        <v>492</v>
      </c>
      <c r="B592" s="8" t="s">
        <v>792</v>
      </c>
      <c r="C592" s="9" t="s">
        <v>793</v>
      </c>
      <c r="D592" s="8" t="s">
        <v>862</v>
      </c>
      <c r="E592" s="8" t="s">
        <v>450</v>
      </c>
      <c r="F592" s="8" t="s">
        <v>456</v>
      </c>
      <c r="G592" s="8" t="s">
        <v>542</v>
      </c>
    </row>
    <row r="593" spans="1:7" ht="28" customHeight="1">
      <c r="A593" s="6">
        <v>493</v>
      </c>
      <c r="B593" s="6" t="s">
        <v>792</v>
      </c>
      <c r="C593" s="7" t="s">
        <v>793</v>
      </c>
      <c r="D593" s="6" t="s">
        <v>863</v>
      </c>
      <c r="E593" s="6" t="s">
        <v>462</v>
      </c>
      <c r="F593" s="6" t="s">
        <v>455</v>
      </c>
      <c r="G593" s="6" t="s">
        <v>542</v>
      </c>
    </row>
    <row r="594" spans="1:7" ht="28" customHeight="1">
      <c r="A594" s="8">
        <v>494</v>
      </c>
      <c r="B594" s="8" t="s">
        <v>2558</v>
      </c>
      <c r="C594" s="9" t="s">
        <v>864</v>
      </c>
      <c r="D594" s="8" t="s">
        <v>865</v>
      </c>
      <c r="E594" s="8" t="s">
        <v>481</v>
      </c>
      <c r="F594" s="8" t="s">
        <v>454</v>
      </c>
      <c r="G594" s="8" t="s">
        <v>542</v>
      </c>
    </row>
    <row r="595" spans="1:7" ht="28" customHeight="1">
      <c r="A595" s="6">
        <v>495</v>
      </c>
      <c r="B595" s="8" t="s">
        <v>2558</v>
      </c>
      <c r="C595" s="7" t="s">
        <v>864</v>
      </c>
      <c r="D595" s="6" t="s">
        <v>368</v>
      </c>
      <c r="E595" s="6" t="s">
        <v>450</v>
      </c>
      <c r="F595" s="6" t="s">
        <v>455</v>
      </c>
      <c r="G595" s="6" t="s">
        <v>452</v>
      </c>
    </row>
    <row r="596" spans="1:7" ht="28" customHeight="1">
      <c r="A596" s="8">
        <v>496</v>
      </c>
      <c r="B596" s="8" t="s">
        <v>2558</v>
      </c>
      <c r="C596" s="9" t="s">
        <v>864</v>
      </c>
      <c r="D596" s="8" t="s">
        <v>370</v>
      </c>
      <c r="E596" s="8" t="s">
        <v>450</v>
      </c>
      <c r="F596" s="8" t="s">
        <v>455</v>
      </c>
      <c r="G596" s="8" t="s">
        <v>452</v>
      </c>
    </row>
    <row r="597" spans="1:7" ht="28" customHeight="1">
      <c r="A597" s="6">
        <v>497</v>
      </c>
      <c r="B597" s="8" t="s">
        <v>2558</v>
      </c>
      <c r="C597" s="7" t="s">
        <v>864</v>
      </c>
      <c r="D597" s="6" t="s">
        <v>371</v>
      </c>
      <c r="E597" s="6" t="s">
        <v>450</v>
      </c>
      <c r="F597" s="6" t="s">
        <v>455</v>
      </c>
      <c r="G597" s="6" t="s">
        <v>452</v>
      </c>
    </row>
    <row r="598" spans="1:7" ht="28" customHeight="1">
      <c r="A598" s="8">
        <v>498</v>
      </c>
      <c r="B598" s="8" t="s">
        <v>2558</v>
      </c>
      <c r="C598" s="9" t="s">
        <v>864</v>
      </c>
      <c r="D598" s="8" t="s">
        <v>866</v>
      </c>
      <c r="E598" s="8" t="s">
        <v>454</v>
      </c>
      <c r="F598" s="8" t="s">
        <v>455</v>
      </c>
      <c r="G598" s="8" t="s">
        <v>452</v>
      </c>
    </row>
    <row r="599" spans="1:7" ht="28" customHeight="1">
      <c r="A599" s="6">
        <v>499</v>
      </c>
      <c r="B599" s="8" t="s">
        <v>2558</v>
      </c>
      <c r="C599" s="7" t="s">
        <v>864</v>
      </c>
      <c r="D599" s="6" t="s">
        <v>867</v>
      </c>
      <c r="E599" s="6" t="s">
        <v>454</v>
      </c>
      <c r="F599" s="6" t="s">
        <v>515</v>
      </c>
      <c r="G599" s="6" t="s">
        <v>452</v>
      </c>
    </row>
    <row r="600" spans="1:7" ht="28" customHeight="1">
      <c r="A600" s="8">
        <v>500</v>
      </c>
      <c r="B600" s="8" t="s">
        <v>2558</v>
      </c>
      <c r="C600" s="9" t="s">
        <v>864</v>
      </c>
      <c r="D600" s="8" t="s">
        <v>868</v>
      </c>
      <c r="E600" s="8" t="s">
        <v>454</v>
      </c>
      <c r="F600" s="8" t="s">
        <v>515</v>
      </c>
      <c r="G600" s="8" t="s">
        <v>452</v>
      </c>
    </row>
    <row r="601" spans="1:7" ht="28" customHeight="1">
      <c r="A601" s="6">
        <v>501</v>
      </c>
      <c r="B601" s="8" t="s">
        <v>2558</v>
      </c>
      <c r="C601" s="7" t="s">
        <v>864</v>
      </c>
      <c r="D601" s="6" t="s">
        <v>869</v>
      </c>
      <c r="E601" s="6" t="s">
        <v>457</v>
      </c>
      <c r="F601" s="6" t="s">
        <v>455</v>
      </c>
      <c r="G601" s="6" t="s">
        <v>452</v>
      </c>
    </row>
    <row r="602" spans="1:7" ht="28" customHeight="1">
      <c r="A602" s="8">
        <v>502</v>
      </c>
      <c r="B602" s="8" t="s">
        <v>2558</v>
      </c>
      <c r="C602" s="9" t="s">
        <v>864</v>
      </c>
      <c r="D602" s="8" t="s">
        <v>870</v>
      </c>
      <c r="E602" s="8" t="s">
        <v>457</v>
      </c>
      <c r="F602" s="8" t="s">
        <v>455</v>
      </c>
      <c r="G602" s="8" t="s">
        <v>452</v>
      </c>
    </row>
    <row r="603" spans="1:7" ht="28" customHeight="1">
      <c r="A603" s="6">
        <v>503</v>
      </c>
      <c r="B603" s="8" t="s">
        <v>2558</v>
      </c>
      <c r="C603" s="7" t="s">
        <v>864</v>
      </c>
      <c r="D603" s="6" t="s">
        <v>871</v>
      </c>
      <c r="E603" s="6" t="s">
        <v>457</v>
      </c>
      <c r="F603" s="6" t="s">
        <v>455</v>
      </c>
      <c r="G603" s="6" t="s">
        <v>452</v>
      </c>
    </row>
    <row r="604" spans="1:7" ht="28" customHeight="1">
      <c r="A604" s="6">
        <v>503</v>
      </c>
      <c r="B604" s="8" t="s">
        <v>2558</v>
      </c>
      <c r="C604" s="7" t="s">
        <v>864</v>
      </c>
      <c r="D604" s="6" t="s">
        <v>872</v>
      </c>
      <c r="E604" s="6" t="s">
        <v>457</v>
      </c>
      <c r="F604" s="6" t="s">
        <v>465</v>
      </c>
      <c r="G604" s="6" t="s">
        <v>452</v>
      </c>
    </row>
    <row r="605" spans="1:7" ht="28" customHeight="1">
      <c r="A605" s="8">
        <v>504</v>
      </c>
      <c r="B605" s="8" t="s">
        <v>2558</v>
      </c>
      <c r="C605" s="9" t="s">
        <v>864</v>
      </c>
      <c r="D605" s="8" t="s">
        <v>873</v>
      </c>
      <c r="E605" s="8" t="s">
        <v>462</v>
      </c>
      <c r="F605" s="8" t="s">
        <v>455</v>
      </c>
      <c r="G605" s="8" t="s">
        <v>452</v>
      </c>
    </row>
    <row r="606" spans="1:7" ht="28" customHeight="1">
      <c r="A606" s="6">
        <v>505</v>
      </c>
      <c r="B606" s="8" t="s">
        <v>2558</v>
      </c>
      <c r="C606" s="7" t="s">
        <v>864</v>
      </c>
      <c r="D606" s="6" t="s">
        <v>874</v>
      </c>
      <c r="E606" s="6" t="s">
        <v>462</v>
      </c>
      <c r="F606" s="6" t="s">
        <v>455</v>
      </c>
      <c r="G606" s="6" t="s">
        <v>452</v>
      </c>
    </row>
    <row r="607" spans="1:7" ht="28" customHeight="1">
      <c r="A607" s="8">
        <v>506</v>
      </c>
      <c r="B607" s="8" t="s">
        <v>2558</v>
      </c>
      <c r="C607" s="9" t="s">
        <v>864</v>
      </c>
      <c r="D607" s="8" t="s">
        <v>875</v>
      </c>
      <c r="E607" s="8" t="s">
        <v>462</v>
      </c>
      <c r="F607" s="8" t="s">
        <v>455</v>
      </c>
      <c r="G607" s="8" t="s">
        <v>452</v>
      </c>
    </row>
    <row r="608" spans="1:7" ht="28" customHeight="1">
      <c r="A608" s="6">
        <v>507</v>
      </c>
      <c r="B608" s="8" t="s">
        <v>2558</v>
      </c>
      <c r="C608" s="7" t="s">
        <v>864</v>
      </c>
      <c r="D608" s="6" t="s">
        <v>876</v>
      </c>
      <c r="E608" s="6" t="s">
        <v>462</v>
      </c>
      <c r="F608" s="6" t="s">
        <v>455</v>
      </c>
      <c r="G608" s="6" t="s">
        <v>452</v>
      </c>
    </row>
    <row r="609" spans="1:7" ht="28" customHeight="1">
      <c r="A609" s="8">
        <v>508</v>
      </c>
      <c r="B609" s="8" t="s">
        <v>2558</v>
      </c>
      <c r="C609" s="9" t="s">
        <v>864</v>
      </c>
      <c r="D609" s="8" t="s">
        <v>877</v>
      </c>
      <c r="E609" s="8" t="s">
        <v>462</v>
      </c>
      <c r="F609" s="8" t="s">
        <v>455</v>
      </c>
      <c r="G609" s="8" t="s">
        <v>452</v>
      </c>
    </row>
    <row r="610" spans="1:7" ht="28" customHeight="1">
      <c r="A610" s="6">
        <v>509</v>
      </c>
      <c r="B610" s="8" t="s">
        <v>2558</v>
      </c>
      <c r="C610" s="7" t="s">
        <v>864</v>
      </c>
      <c r="D610" s="6" t="s">
        <v>878</v>
      </c>
      <c r="E610" s="6" t="s">
        <v>465</v>
      </c>
      <c r="F610" s="6" t="s">
        <v>455</v>
      </c>
      <c r="G610" s="6" t="s">
        <v>452</v>
      </c>
    </row>
    <row r="611" spans="1:7" ht="28" customHeight="1">
      <c r="A611" s="8">
        <v>510</v>
      </c>
      <c r="B611" s="8" t="s">
        <v>2558</v>
      </c>
      <c r="C611" s="9" t="s">
        <v>864</v>
      </c>
      <c r="D611" s="8" t="s">
        <v>879</v>
      </c>
      <c r="E611" s="8" t="s">
        <v>465</v>
      </c>
      <c r="F611" s="8" t="s">
        <v>455</v>
      </c>
      <c r="G611" s="8" t="s">
        <v>452</v>
      </c>
    </row>
    <row r="612" spans="1:7" ht="28" customHeight="1">
      <c r="A612" s="6">
        <v>511</v>
      </c>
      <c r="B612" s="8" t="s">
        <v>2558</v>
      </c>
      <c r="C612" s="7" t="s">
        <v>864</v>
      </c>
      <c r="D612" s="6" t="s">
        <v>880</v>
      </c>
      <c r="E612" s="6" t="s">
        <v>450</v>
      </c>
      <c r="F612" s="6" t="s">
        <v>455</v>
      </c>
      <c r="G612" s="6" t="s">
        <v>452</v>
      </c>
    </row>
    <row r="613" spans="1:7" ht="28" customHeight="1">
      <c r="A613" s="8">
        <v>512</v>
      </c>
      <c r="B613" s="8" t="s">
        <v>2558</v>
      </c>
      <c r="C613" s="9" t="s">
        <v>864</v>
      </c>
      <c r="D613" s="8" t="s">
        <v>881</v>
      </c>
      <c r="E613" s="8" t="s">
        <v>450</v>
      </c>
      <c r="F613" s="8" t="s">
        <v>455</v>
      </c>
      <c r="G613" s="8" t="s">
        <v>452</v>
      </c>
    </row>
    <row r="614" spans="1:7" ht="28" customHeight="1">
      <c r="A614" s="6">
        <v>513</v>
      </c>
      <c r="B614" s="8" t="s">
        <v>2558</v>
      </c>
      <c r="C614" s="7" t="s">
        <v>864</v>
      </c>
      <c r="D614" s="6" t="s">
        <v>882</v>
      </c>
      <c r="E614" s="6" t="s">
        <v>454</v>
      </c>
      <c r="F614" s="6" t="s">
        <v>455</v>
      </c>
      <c r="G614" s="6" t="s">
        <v>452</v>
      </c>
    </row>
    <row r="615" spans="1:7" ht="28" customHeight="1">
      <c r="A615" s="8">
        <v>514</v>
      </c>
      <c r="B615" s="8" t="s">
        <v>2558</v>
      </c>
      <c r="C615" s="9" t="s">
        <v>864</v>
      </c>
      <c r="D615" s="8" t="s">
        <v>883</v>
      </c>
      <c r="E615" s="8" t="s">
        <v>454</v>
      </c>
      <c r="F615" s="8" t="s">
        <v>455</v>
      </c>
      <c r="G615" s="8" t="s">
        <v>452</v>
      </c>
    </row>
    <row r="616" spans="1:7" ht="28" customHeight="1">
      <c r="A616" s="6">
        <v>515</v>
      </c>
      <c r="B616" s="8" t="s">
        <v>2558</v>
      </c>
      <c r="C616" s="7" t="s">
        <v>864</v>
      </c>
      <c r="D616" s="6" t="s">
        <v>884</v>
      </c>
      <c r="E616" s="6" t="s">
        <v>457</v>
      </c>
      <c r="F616" s="6" t="s">
        <v>455</v>
      </c>
      <c r="G616" s="6" t="s">
        <v>452</v>
      </c>
    </row>
    <row r="617" spans="1:7" ht="28" customHeight="1">
      <c r="A617" s="8">
        <v>516</v>
      </c>
      <c r="B617" s="8" t="s">
        <v>2558</v>
      </c>
      <c r="C617" s="9" t="s">
        <v>864</v>
      </c>
      <c r="D617" s="8" t="s">
        <v>885</v>
      </c>
      <c r="E617" s="8" t="s">
        <v>457</v>
      </c>
      <c r="F617" s="8" t="s">
        <v>455</v>
      </c>
      <c r="G617" s="8" t="s">
        <v>452</v>
      </c>
    </row>
    <row r="618" spans="1:7" ht="28" customHeight="1">
      <c r="A618" s="6">
        <v>517</v>
      </c>
      <c r="B618" s="8" t="s">
        <v>2558</v>
      </c>
      <c r="C618" s="7" t="s">
        <v>864</v>
      </c>
      <c r="D618" s="6" t="s">
        <v>886</v>
      </c>
      <c r="E618" s="6" t="s">
        <v>481</v>
      </c>
      <c r="F618" s="6" t="s">
        <v>455</v>
      </c>
      <c r="G618" s="6" t="s">
        <v>452</v>
      </c>
    </row>
    <row r="619" spans="1:7" ht="28" customHeight="1">
      <c r="A619" s="8">
        <v>518</v>
      </c>
      <c r="B619" s="8" t="s">
        <v>2558</v>
      </c>
      <c r="C619" s="9" t="s">
        <v>864</v>
      </c>
      <c r="D619" s="8" t="s">
        <v>887</v>
      </c>
      <c r="E619" s="8" t="s">
        <v>481</v>
      </c>
      <c r="F619" s="8" t="s">
        <v>455</v>
      </c>
      <c r="G619" s="8" t="s">
        <v>452</v>
      </c>
    </row>
    <row r="620" spans="1:7" ht="28" customHeight="1">
      <c r="A620" s="6">
        <v>519</v>
      </c>
      <c r="B620" s="8" t="s">
        <v>2558</v>
      </c>
      <c r="C620" s="7" t="s">
        <v>864</v>
      </c>
      <c r="D620" s="6" t="s">
        <v>888</v>
      </c>
      <c r="E620" s="6" t="s">
        <v>462</v>
      </c>
      <c r="F620" s="6" t="s">
        <v>456</v>
      </c>
      <c r="G620" s="6" t="s">
        <v>452</v>
      </c>
    </row>
    <row r="621" spans="1:7" ht="28" customHeight="1">
      <c r="A621" s="8">
        <v>520</v>
      </c>
      <c r="B621" s="8" t="s">
        <v>2558</v>
      </c>
      <c r="C621" s="9" t="s">
        <v>864</v>
      </c>
      <c r="D621" s="8" t="s">
        <v>889</v>
      </c>
      <c r="E621" s="8" t="s">
        <v>462</v>
      </c>
      <c r="F621" s="8" t="s">
        <v>456</v>
      </c>
      <c r="G621" s="8" t="s">
        <v>452</v>
      </c>
    </row>
    <row r="622" spans="1:7" ht="28" customHeight="1">
      <c r="A622" s="6">
        <v>521</v>
      </c>
      <c r="B622" s="8" t="s">
        <v>2558</v>
      </c>
      <c r="C622" s="7" t="s">
        <v>864</v>
      </c>
      <c r="D622" s="6" t="s">
        <v>2131</v>
      </c>
      <c r="E622" s="6" t="s">
        <v>462</v>
      </c>
      <c r="F622" s="6" t="s">
        <v>456</v>
      </c>
      <c r="G622" s="6" t="s">
        <v>452</v>
      </c>
    </row>
    <row r="623" spans="1:7" ht="28" customHeight="1">
      <c r="A623" s="8">
        <v>522</v>
      </c>
      <c r="B623" s="8" t="s">
        <v>2558</v>
      </c>
      <c r="C623" s="9" t="s">
        <v>864</v>
      </c>
      <c r="D623" s="8" t="s">
        <v>890</v>
      </c>
      <c r="E623" s="8" t="s">
        <v>471</v>
      </c>
      <c r="F623" s="8" t="s">
        <v>455</v>
      </c>
      <c r="G623" s="8" t="s">
        <v>452</v>
      </c>
    </row>
    <row r="624" spans="1:7" ht="28" customHeight="1">
      <c r="A624" s="6">
        <v>523</v>
      </c>
      <c r="B624" s="8" t="s">
        <v>2558</v>
      </c>
      <c r="C624" s="7" t="s">
        <v>864</v>
      </c>
      <c r="D624" s="6" t="s">
        <v>891</v>
      </c>
      <c r="E624" s="6" t="s">
        <v>471</v>
      </c>
      <c r="F624" s="6" t="s">
        <v>455</v>
      </c>
      <c r="G624" s="6" t="s">
        <v>452</v>
      </c>
    </row>
    <row r="625" spans="1:7" ht="28" customHeight="1">
      <c r="A625" s="8">
        <v>524</v>
      </c>
      <c r="B625" s="8" t="s">
        <v>2558</v>
      </c>
      <c r="C625" s="9" t="s">
        <v>864</v>
      </c>
      <c r="D625" s="8" t="s">
        <v>892</v>
      </c>
      <c r="E625" s="8" t="s">
        <v>519</v>
      </c>
      <c r="F625" s="8" t="s">
        <v>455</v>
      </c>
      <c r="G625" s="8" t="s">
        <v>452</v>
      </c>
    </row>
    <row r="626" spans="1:7" ht="28" customHeight="1">
      <c r="A626" s="6">
        <v>525</v>
      </c>
      <c r="B626" s="8" t="s">
        <v>2558</v>
      </c>
      <c r="C626" s="7" t="s">
        <v>864</v>
      </c>
      <c r="D626" s="6" t="s">
        <v>893</v>
      </c>
      <c r="E626" s="6" t="s">
        <v>519</v>
      </c>
      <c r="F626" s="6" t="s">
        <v>455</v>
      </c>
      <c r="G626" s="6" t="s">
        <v>452</v>
      </c>
    </row>
    <row r="627" spans="1:7" ht="28" customHeight="1">
      <c r="A627" s="8">
        <v>526</v>
      </c>
      <c r="B627" s="8" t="s">
        <v>2558</v>
      </c>
      <c r="C627" s="9" t="s">
        <v>864</v>
      </c>
      <c r="D627" s="8" t="s">
        <v>372</v>
      </c>
      <c r="E627" s="8" t="s">
        <v>519</v>
      </c>
      <c r="F627" s="8" t="s">
        <v>455</v>
      </c>
      <c r="G627" s="8" t="s">
        <v>452</v>
      </c>
    </row>
    <row r="628" spans="1:7" ht="28" customHeight="1">
      <c r="A628" s="6">
        <v>527</v>
      </c>
      <c r="B628" s="8" t="s">
        <v>2558</v>
      </c>
      <c r="C628" s="7" t="s">
        <v>864</v>
      </c>
      <c r="D628" s="6" t="s">
        <v>894</v>
      </c>
      <c r="E628" s="6" t="s">
        <v>481</v>
      </c>
      <c r="F628" s="6" t="s">
        <v>456</v>
      </c>
      <c r="G628" s="6" t="s">
        <v>452</v>
      </c>
    </row>
    <row r="629" spans="1:7" ht="28" customHeight="1">
      <c r="A629" s="8">
        <v>528</v>
      </c>
      <c r="B629" s="8" t="s">
        <v>2558</v>
      </c>
      <c r="C629" s="9" t="s">
        <v>864</v>
      </c>
      <c r="D629" s="8" t="s">
        <v>895</v>
      </c>
      <c r="E629" s="8" t="s">
        <v>481</v>
      </c>
      <c r="F629" s="8" t="s">
        <v>456</v>
      </c>
      <c r="G629" s="8" t="s">
        <v>452</v>
      </c>
    </row>
    <row r="630" spans="1:7" ht="28" customHeight="1">
      <c r="A630" s="6">
        <v>529</v>
      </c>
      <c r="B630" s="8" t="s">
        <v>2558</v>
      </c>
      <c r="C630" s="7" t="s">
        <v>864</v>
      </c>
      <c r="D630" s="6" t="s">
        <v>896</v>
      </c>
      <c r="E630" s="6" t="s">
        <v>483</v>
      </c>
      <c r="F630" s="6" t="s">
        <v>455</v>
      </c>
      <c r="G630" s="6" t="s">
        <v>452</v>
      </c>
    </row>
    <row r="631" spans="1:7" ht="28" customHeight="1">
      <c r="A631" s="8">
        <v>530</v>
      </c>
      <c r="B631" s="8" t="s">
        <v>2558</v>
      </c>
      <c r="C631" s="9" t="s">
        <v>864</v>
      </c>
      <c r="D631" s="8" t="s">
        <v>375</v>
      </c>
      <c r="E631" s="8" t="s">
        <v>483</v>
      </c>
      <c r="F631" s="8" t="s">
        <v>486</v>
      </c>
      <c r="G631" s="8" t="s">
        <v>452</v>
      </c>
    </row>
    <row r="632" spans="1:7" ht="28" customHeight="1">
      <c r="A632" s="6">
        <v>531</v>
      </c>
      <c r="B632" s="8" t="s">
        <v>2558</v>
      </c>
      <c r="C632" s="7" t="s">
        <v>864</v>
      </c>
      <c r="D632" s="6" t="s">
        <v>897</v>
      </c>
      <c r="E632" s="6" t="s">
        <v>462</v>
      </c>
      <c r="F632" s="6" t="s">
        <v>455</v>
      </c>
      <c r="G632" s="6" t="s">
        <v>542</v>
      </c>
    </row>
    <row r="633" spans="1:7" ht="28" customHeight="1">
      <c r="A633" s="8">
        <v>532</v>
      </c>
      <c r="B633" s="8" t="s">
        <v>2558</v>
      </c>
      <c r="C633" s="9" t="s">
        <v>864</v>
      </c>
      <c r="D633" s="8" t="s">
        <v>898</v>
      </c>
      <c r="E633" s="8" t="s">
        <v>515</v>
      </c>
      <c r="F633" s="8" t="s">
        <v>455</v>
      </c>
      <c r="G633" s="8" t="s">
        <v>452</v>
      </c>
    </row>
    <row r="634" spans="1:7" ht="28" customHeight="1">
      <c r="A634" s="6">
        <v>533</v>
      </c>
      <c r="B634" s="8" t="s">
        <v>2558</v>
      </c>
      <c r="C634" s="7" t="s">
        <v>864</v>
      </c>
      <c r="D634" s="6" t="s">
        <v>899</v>
      </c>
      <c r="E634" s="6" t="s">
        <v>515</v>
      </c>
      <c r="F634" s="6" t="s">
        <v>455</v>
      </c>
      <c r="G634" s="6" t="s">
        <v>452</v>
      </c>
    </row>
    <row r="635" spans="1:7" ht="28" customHeight="1">
      <c r="A635" s="8">
        <v>534</v>
      </c>
      <c r="B635" s="8" t="s">
        <v>2558</v>
      </c>
      <c r="C635" s="9" t="s">
        <v>864</v>
      </c>
      <c r="D635" s="8" t="s">
        <v>378</v>
      </c>
      <c r="E635" s="8" t="s">
        <v>515</v>
      </c>
      <c r="F635" s="8" t="s">
        <v>455</v>
      </c>
      <c r="G635" s="8" t="s">
        <v>452</v>
      </c>
    </row>
    <row r="636" spans="1:7" ht="28" customHeight="1">
      <c r="A636" s="6">
        <v>535</v>
      </c>
      <c r="B636" s="8" t="s">
        <v>2558</v>
      </c>
      <c r="C636" s="7" t="s">
        <v>864</v>
      </c>
      <c r="D636" s="6" t="s">
        <v>900</v>
      </c>
      <c r="E636" s="6" t="s">
        <v>457</v>
      </c>
      <c r="F636" s="6" t="s">
        <v>455</v>
      </c>
      <c r="G636" s="6" t="s">
        <v>452</v>
      </c>
    </row>
    <row r="637" spans="1:7" ht="28" customHeight="1">
      <c r="A637" s="8">
        <v>536</v>
      </c>
      <c r="B637" s="8" t="s">
        <v>2558</v>
      </c>
      <c r="C637" s="9" t="s">
        <v>864</v>
      </c>
      <c r="D637" s="8" t="s">
        <v>901</v>
      </c>
      <c r="E637" s="8" t="s">
        <v>457</v>
      </c>
      <c r="F637" s="8" t="s">
        <v>483</v>
      </c>
      <c r="G637" s="8" t="s">
        <v>452</v>
      </c>
    </row>
    <row r="638" spans="1:7" ht="28" customHeight="1">
      <c r="A638" s="6">
        <v>537</v>
      </c>
      <c r="B638" s="8" t="s">
        <v>2558</v>
      </c>
      <c r="C638" s="7" t="s">
        <v>864</v>
      </c>
      <c r="D638" s="6" t="s">
        <v>902</v>
      </c>
      <c r="E638" s="6" t="s">
        <v>457</v>
      </c>
      <c r="F638" s="6" t="s">
        <v>483</v>
      </c>
      <c r="G638" s="6" t="s">
        <v>452</v>
      </c>
    </row>
    <row r="639" spans="1:7" ht="28" customHeight="1">
      <c r="A639" s="8">
        <v>538</v>
      </c>
      <c r="B639" s="8" t="s">
        <v>2558</v>
      </c>
      <c r="C639" s="9" t="s">
        <v>864</v>
      </c>
      <c r="D639" s="8" t="s">
        <v>903</v>
      </c>
      <c r="E639" s="8" t="s">
        <v>515</v>
      </c>
      <c r="F639" s="8" t="s">
        <v>455</v>
      </c>
      <c r="G639" s="8" t="s">
        <v>542</v>
      </c>
    </row>
    <row r="640" spans="1:7" ht="28" customHeight="1">
      <c r="A640" s="6">
        <v>539</v>
      </c>
      <c r="B640" s="8" t="s">
        <v>2558</v>
      </c>
      <c r="C640" s="7" t="s">
        <v>864</v>
      </c>
      <c r="D640" s="6" t="s">
        <v>904</v>
      </c>
      <c r="E640" s="6" t="s">
        <v>515</v>
      </c>
      <c r="F640" s="6" t="s">
        <v>455</v>
      </c>
      <c r="G640" s="6" t="s">
        <v>542</v>
      </c>
    </row>
    <row r="641" spans="1:7" ht="28" customHeight="1">
      <c r="A641" s="8">
        <v>540</v>
      </c>
      <c r="B641" s="8" t="s">
        <v>2558</v>
      </c>
      <c r="C641" s="9" t="s">
        <v>864</v>
      </c>
      <c r="D641" s="8" t="s">
        <v>905</v>
      </c>
      <c r="E641" s="8" t="s">
        <v>460</v>
      </c>
      <c r="F641" s="8" t="s">
        <v>450</v>
      </c>
      <c r="G641" s="8" t="s">
        <v>452</v>
      </c>
    </row>
    <row r="642" spans="1:7" ht="28" customHeight="1">
      <c r="A642" s="6">
        <v>541</v>
      </c>
      <c r="B642" s="8" t="s">
        <v>2558</v>
      </c>
      <c r="C642" s="7" t="s">
        <v>864</v>
      </c>
      <c r="D642" s="6" t="s">
        <v>906</v>
      </c>
      <c r="E642" s="6" t="s">
        <v>460</v>
      </c>
      <c r="F642" s="6" t="s">
        <v>450</v>
      </c>
      <c r="G642" s="6" t="s">
        <v>452</v>
      </c>
    </row>
    <row r="643" spans="1:7" ht="28" customHeight="1">
      <c r="A643" s="8">
        <v>542</v>
      </c>
      <c r="B643" s="8" t="s">
        <v>2558</v>
      </c>
      <c r="C643" s="9" t="s">
        <v>864</v>
      </c>
      <c r="D643" s="8" t="s">
        <v>907</v>
      </c>
      <c r="E643" s="8" t="s">
        <v>460</v>
      </c>
      <c r="F643" s="8" t="s">
        <v>450</v>
      </c>
      <c r="G643" s="8" t="s">
        <v>452</v>
      </c>
    </row>
    <row r="644" spans="1:7" ht="28" customHeight="1">
      <c r="A644" s="6">
        <v>543</v>
      </c>
      <c r="B644" s="8" t="s">
        <v>2558</v>
      </c>
      <c r="C644" s="7" t="s">
        <v>864</v>
      </c>
      <c r="D644" s="6" t="s">
        <v>908</v>
      </c>
      <c r="E644" s="6" t="s">
        <v>460</v>
      </c>
      <c r="F644" s="6" t="s">
        <v>451</v>
      </c>
      <c r="G644" s="6" t="s">
        <v>452</v>
      </c>
    </row>
    <row r="645" spans="1:7" ht="28" customHeight="1">
      <c r="A645" s="8">
        <v>544</v>
      </c>
      <c r="B645" s="8" t="s">
        <v>2558</v>
      </c>
      <c r="C645" s="9" t="s">
        <v>864</v>
      </c>
      <c r="D645" s="8" t="s">
        <v>909</v>
      </c>
      <c r="E645" s="8" t="s">
        <v>460</v>
      </c>
      <c r="F645" s="8" t="s">
        <v>451</v>
      </c>
      <c r="G645" s="8" t="s">
        <v>452</v>
      </c>
    </row>
    <row r="646" spans="1:7" ht="28" customHeight="1">
      <c r="A646" s="6">
        <v>545</v>
      </c>
      <c r="B646" s="8" t="s">
        <v>2558</v>
      </c>
      <c r="C646" s="7" t="s">
        <v>864</v>
      </c>
      <c r="D646" s="6" t="s">
        <v>381</v>
      </c>
      <c r="E646" s="6" t="s">
        <v>460</v>
      </c>
      <c r="F646" s="6" t="s">
        <v>451</v>
      </c>
      <c r="G646" s="6" t="s">
        <v>452</v>
      </c>
    </row>
    <row r="647" spans="1:7" ht="28" customHeight="1">
      <c r="A647" s="8">
        <v>546</v>
      </c>
      <c r="B647" s="8" t="s">
        <v>2558</v>
      </c>
      <c r="C647" s="9" t="s">
        <v>864</v>
      </c>
      <c r="D647" s="8" t="s">
        <v>910</v>
      </c>
      <c r="E647" s="8" t="s">
        <v>450</v>
      </c>
      <c r="F647" s="8" t="s">
        <v>494</v>
      </c>
      <c r="G647" s="8" t="s">
        <v>452</v>
      </c>
    </row>
    <row r="648" spans="1:7" ht="28" customHeight="1">
      <c r="A648" s="6">
        <v>547</v>
      </c>
      <c r="B648" s="8" t="s">
        <v>2558</v>
      </c>
      <c r="C648" s="7" t="s">
        <v>864</v>
      </c>
      <c r="D648" s="6" t="s">
        <v>911</v>
      </c>
      <c r="E648" s="6" t="s">
        <v>450</v>
      </c>
      <c r="F648" s="6" t="s">
        <v>494</v>
      </c>
      <c r="G648" s="6" t="s">
        <v>452</v>
      </c>
    </row>
    <row r="649" spans="1:7" ht="28" customHeight="1">
      <c r="A649" s="8">
        <v>548</v>
      </c>
      <c r="B649" s="8" t="s">
        <v>2558</v>
      </c>
      <c r="C649" s="9" t="s">
        <v>864</v>
      </c>
      <c r="D649" s="8" t="s">
        <v>912</v>
      </c>
      <c r="E649" s="8" t="s">
        <v>450</v>
      </c>
      <c r="F649" s="8" t="s">
        <v>455</v>
      </c>
      <c r="G649" s="8" t="s">
        <v>452</v>
      </c>
    </row>
    <row r="650" spans="1:7" ht="28" customHeight="1">
      <c r="A650" s="6">
        <v>549</v>
      </c>
      <c r="B650" s="8" t="s">
        <v>2558</v>
      </c>
      <c r="C650" s="7" t="s">
        <v>864</v>
      </c>
      <c r="D650" s="6" t="s">
        <v>913</v>
      </c>
      <c r="E650" s="6" t="s">
        <v>450</v>
      </c>
      <c r="F650" s="6" t="s">
        <v>455</v>
      </c>
      <c r="G650" s="6" t="s">
        <v>452</v>
      </c>
    </row>
    <row r="651" spans="1:7" ht="28" customHeight="1">
      <c r="A651" s="6">
        <v>549</v>
      </c>
      <c r="B651" s="8" t="s">
        <v>2558</v>
      </c>
      <c r="C651" s="7" t="s">
        <v>864</v>
      </c>
      <c r="D651" s="6" t="s">
        <v>914</v>
      </c>
      <c r="E651" s="6" t="s">
        <v>450</v>
      </c>
      <c r="F651" s="6" t="s">
        <v>515</v>
      </c>
      <c r="G651" s="6" t="s">
        <v>452</v>
      </c>
    </row>
    <row r="652" spans="1:7" ht="28" customHeight="1">
      <c r="A652" s="8">
        <v>550</v>
      </c>
      <c r="B652" s="8" t="s">
        <v>2558</v>
      </c>
      <c r="C652" s="9" t="s">
        <v>864</v>
      </c>
      <c r="D652" s="8" t="s">
        <v>915</v>
      </c>
      <c r="E652" s="8" t="s">
        <v>457</v>
      </c>
      <c r="F652" s="8" t="s">
        <v>455</v>
      </c>
      <c r="G652" s="8" t="s">
        <v>542</v>
      </c>
    </row>
    <row r="653" spans="1:7" ht="28" customHeight="1">
      <c r="A653" s="8">
        <v>550</v>
      </c>
      <c r="B653" s="8" t="s">
        <v>2558</v>
      </c>
      <c r="C653" s="9" t="s">
        <v>864</v>
      </c>
      <c r="D653" s="8" t="s">
        <v>916</v>
      </c>
      <c r="E653" s="8" t="s">
        <v>457</v>
      </c>
      <c r="F653" s="8" t="s">
        <v>455</v>
      </c>
      <c r="G653" s="8" t="s">
        <v>542</v>
      </c>
    </row>
    <row r="654" spans="1:7" ht="28" customHeight="1">
      <c r="A654" s="8">
        <v>550</v>
      </c>
      <c r="B654" s="8" t="s">
        <v>2558</v>
      </c>
      <c r="C654" s="9" t="s">
        <v>864</v>
      </c>
      <c r="D654" s="8" t="s">
        <v>917</v>
      </c>
      <c r="E654" s="8" t="s">
        <v>457</v>
      </c>
      <c r="F654" s="8" t="s">
        <v>455</v>
      </c>
      <c r="G654" s="8" t="s">
        <v>452</v>
      </c>
    </row>
    <row r="655" spans="1:7" ht="28" customHeight="1">
      <c r="A655" s="6">
        <v>551</v>
      </c>
      <c r="B655" s="8" t="s">
        <v>2558</v>
      </c>
      <c r="C655" s="7" t="s">
        <v>864</v>
      </c>
      <c r="D655" s="6" t="s">
        <v>918</v>
      </c>
      <c r="E655" s="6" t="s">
        <v>483</v>
      </c>
      <c r="F655" s="6" t="s">
        <v>465</v>
      </c>
      <c r="G655" s="6" t="s">
        <v>452</v>
      </c>
    </row>
    <row r="656" spans="1:7" ht="28" customHeight="1">
      <c r="A656" s="8">
        <v>552</v>
      </c>
      <c r="B656" s="8" t="s">
        <v>2558</v>
      </c>
      <c r="C656" s="9" t="s">
        <v>864</v>
      </c>
      <c r="D656" s="8" t="s">
        <v>919</v>
      </c>
      <c r="E656" s="8" t="s">
        <v>483</v>
      </c>
      <c r="F656" s="8" t="s">
        <v>465</v>
      </c>
      <c r="G656" s="8" t="s">
        <v>452</v>
      </c>
    </row>
    <row r="657" spans="1:7" ht="28" customHeight="1">
      <c r="A657" s="6">
        <v>553</v>
      </c>
      <c r="B657" s="8" t="s">
        <v>2558</v>
      </c>
      <c r="C657" s="7" t="s">
        <v>864</v>
      </c>
      <c r="D657" s="6" t="s">
        <v>920</v>
      </c>
      <c r="E657" s="6" t="s">
        <v>483</v>
      </c>
      <c r="F657" s="6" t="s">
        <v>465</v>
      </c>
      <c r="G657" s="6" t="s">
        <v>452</v>
      </c>
    </row>
    <row r="658" spans="1:7" ht="28" customHeight="1">
      <c r="A658" s="8">
        <v>554</v>
      </c>
      <c r="B658" s="8" t="s">
        <v>2558</v>
      </c>
      <c r="C658" s="9" t="s">
        <v>864</v>
      </c>
      <c r="D658" s="8" t="s">
        <v>921</v>
      </c>
      <c r="E658" s="8" t="s">
        <v>454</v>
      </c>
      <c r="F658" s="8" t="s">
        <v>455</v>
      </c>
      <c r="G658" s="8" t="s">
        <v>452</v>
      </c>
    </row>
    <row r="659" spans="1:7" ht="28" customHeight="1">
      <c r="A659" s="8">
        <v>554</v>
      </c>
      <c r="B659" s="8" t="s">
        <v>2558</v>
      </c>
      <c r="C659" s="9" t="s">
        <v>864</v>
      </c>
      <c r="D659" s="8" t="s">
        <v>922</v>
      </c>
      <c r="E659" s="8" t="s">
        <v>485</v>
      </c>
      <c r="F659" s="8" t="s">
        <v>455</v>
      </c>
      <c r="G659" s="8" t="s">
        <v>452</v>
      </c>
    </row>
    <row r="660" spans="1:7" ht="28" customHeight="1">
      <c r="A660" s="6">
        <v>555</v>
      </c>
      <c r="B660" s="8" t="s">
        <v>2558</v>
      </c>
      <c r="C660" s="7" t="s">
        <v>864</v>
      </c>
      <c r="D660" s="6" t="s">
        <v>923</v>
      </c>
      <c r="E660" s="6" t="s">
        <v>454</v>
      </c>
      <c r="F660" s="6" t="s">
        <v>455</v>
      </c>
      <c r="G660" s="6" t="s">
        <v>452</v>
      </c>
    </row>
    <row r="661" spans="1:7" ht="28" customHeight="1">
      <c r="A661" s="6">
        <v>555</v>
      </c>
      <c r="B661" s="8" t="s">
        <v>2558</v>
      </c>
      <c r="C661" s="7" t="s">
        <v>864</v>
      </c>
      <c r="D661" s="6" t="s">
        <v>924</v>
      </c>
      <c r="E661" s="6" t="s">
        <v>485</v>
      </c>
      <c r="F661" s="6" t="s">
        <v>455</v>
      </c>
      <c r="G661" s="6" t="s">
        <v>452</v>
      </c>
    </row>
    <row r="662" spans="1:7" ht="28" customHeight="1">
      <c r="A662" s="8">
        <v>556</v>
      </c>
      <c r="B662" s="8" t="s">
        <v>2558</v>
      </c>
      <c r="C662" s="9" t="s">
        <v>864</v>
      </c>
      <c r="D662" s="8" t="s">
        <v>925</v>
      </c>
      <c r="E662" s="8" t="s">
        <v>450</v>
      </c>
      <c r="F662" s="8" t="s">
        <v>455</v>
      </c>
      <c r="G662" s="8" t="s">
        <v>542</v>
      </c>
    </row>
    <row r="663" spans="1:7" ht="28" customHeight="1">
      <c r="A663" s="6">
        <v>557</v>
      </c>
      <c r="B663" s="8" t="s">
        <v>2558</v>
      </c>
      <c r="C663" s="7" t="s">
        <v>864</v>
      </c>
      <c r="D663" s="6" t="s">
        <v>926</v>
      </c>
      <c r="E663" s="6" t="s">
        <v>460</v>
      </c>
      <c r="F663" s="6" t="s">
        <v>519</v>
      </c>
      <c r="G663" s="6" t="s">
        <v>452</v>
      </c>
    </row>
    <row r="664" spans="1:7" ht="28" customHeight="1">
      <c r="A664" s="8">
        <v>558</v>
      </c>
      <c r="B664" s="8" t="s">
        <v>2558</v>
      </c>
      <c r="C664" s="9" t="s">
        <v>864</v>
      </c>
      <c r="D664" s="8" t="s">
        <v>384</v>
      </c>
      <c r="E664" s="8" t="s">
        <v>460</v>
      </c>
      <c r="F664" s="8" t="s">
        <v>519</v>
      </c>
      <c r="G664" s="8" t="s">
        <v>452</v>
      </c>
    </row>
    <row r="665" spans="1:7" ht="28" customHeight="1">
      <c r="A665" s="6">
        <v>559</v>
      </c>
      <c r="B665" s="8" t="s">
        <v>2558</v>
      </c>
      <c r="C665" s="7" t="s">
        <v>864</v>
      </c>
      <c r="D665" s="6" t="s">
        <v>927</v>
      </c>
      <c r="E665" s="6" t="s">
        <v>465</v>
      </c>
      <c r="F665" s="6" t="s">
        <v>515</v>
      </c>
      <c r="G665" s="6" t="s">
        <v>452</v>
      </c>
    </row>
    <row r="666" spans="1:7" ht="28" customHeight="1">
      <c r="A666" s="8">
        <v>560</v>
      </c>
      <c r="B666" s="8" t="s">
        <v>2558</v>
      </c>
      <c r="C666" s="9" t="s">
        <v>864</v>
      </c>
      <c r="D666" s="8" t="s">
        <v>928</v>
      </c>
      <c r="E666" s="8" t="s">
        <v>465</v>
      </c>
      <c r="F666" s="8" t="s">
        <v>515</v>
      </c>
      <c r="G666" s="8" t="s">
        <v>452</v>
      </c>
    </row>
    <row r="667" spans="1:7" ht="28" customHeight="1">
      <c r="A667" s="6">
        <v>561</v>
      </c>
      <c r="B667" s="8" t="s">
        <v>2558</v>
      </c>
      <c r="C667" s="7" t="s">
        <v>864</v>
      </c>
      <c r="D667" s="6" t="s">
        <v>387</v>
      </c>
      <c r="E667" s="6" t="s">
        <v>481</v>
      </c>
      <c r="F667" s="6" t="s">
        <v>456</v>
      </c>
      <c r="G667" s="6" t="s">
        <v>542</v>
      </c>
    </row>
    <row r="668" spans="1:7" ht="28" customHeight="1">
      <c r="A668" s="8">
        <v>562</v>
      </c>
      <c r="B668" s="8" t="s">
        <v>2558</v>
      </c>
      <c r="C668" s="9" t="s">
        <v>864</v>
      </c>
      <c r="D668" s="8" t="s">
        <v>929</v>
      </c>
      <c r="E668" s="8" t="s">
        <v>552</v>
      </c>
      <c r="F668" s="8" t="s">
        <v>455</v>
      </c>
      <c r="G668" s="8" t="s">
        <v>452</v>
      </c>
    </row>
    <row r="669" spans="1:7" ht="28" customHeight="1">
      <c r="A669" s="8">
        <v>562</v>
      </c>
      <c r="B669" s="8" t="s">
        <v>2558</v>
      </c>
      <c r="C669" s="9" t="s">
        <v>864</v>
      </c>
      <c r="D669" s="8" t="s">
        <v>930</v>
      </c>
      <c r="E669" s="8" t="s">
        <v>483</v>
      </c>
      <c r="F669" s="8" t="s">
        <v>552</v>
      </c>
      <c r="G669" s="8" t="s">
        <v>452</v>
      </c>
    </row>
    <row r="670" spans="1:7" ht="28" customHeight="1">
      <c r="A670" s="6">
        <v>563</v>
      </c>
      <c r="B670" s="8" t="s">
        <v>2558</v>
      </c>
      <c r="C670" s="7" t="s">
        <v>864</v>
      </c>
      <c r="D670" s="6" t="s">
        <v>931</v>
      </c>
      <c r="E670" s="6" t="s">
        <v>552</v>
      </c>
      <c r="F670" s="6" t="s">
        <v>455</v>
      </c>
      <c r="G670" s="6" t="s">
        <v>452</v>
      </c>
    </row>
    <row r="671" spans="1:7" ht="28" customHeight="1">
      <c r="A671" s="8">
        <v>564</v>
      </c>
      <c r="B671" s="8" t="s">
        <v>2558</v>
      </c>
      <c r="C671" s="9" t="s">
        <v>864</v>
      </c>
      <c r="D671" s="8" t="s">
        <v>932</v>
      </c>
      <c r="E671" s="8" t="s">
        <v>457</v>
      </c>
      <c r="F671" s="8" t="s">
        <v>519</v>
      </c>
      <c r="G671" s="8" t="s">
        <v>452</v>
      </c>
    </row>
    <row r="672" spans="1:7" ht="28" customHeight="1">
      <c r="A672" s="6">
        <v>565</v>
      </c>
      <c r="B672" s="8" t="s">
        <v>2558</v>
      </c>
      <c r="C672" s="7" t="s">
        <v>864</v>
      </c>
      <c r="D672" s="6" t="s">
        <v>933</v>
      </c>
      <c r="E672" s="6" t="s">
        <v>457</v>
      </c>
      <c r="F672" s="6" t="s">
        <v>519</v>
      </c>
      <c r="G672" s="6" t="s">
        <v>452</v>
      </c>
    </row>
    <row r="673" spans="1:7" ht="28" customHeight="1">
      <c r="A673" s="8">
        <v>566</v>
      </c>
      <c r="B673" s="8" t="s">
        <v>2558</v>
      </c>
      <c r="C673" s="9" t="s">
        <v>864</v>
      </c>
      <c r="D673" s="8" t="s">
        <v>934</v>
      </c>
      <c r="E673" s="8" t="s">
        <v>519</v>
      </c>
      <c r="F673" s="8" t="s">
        <v>456</v>
      </c>
      <c r="G673" s="8" t="s">
        <v>452</v>
      </c>
    </row>
    <row r="674" spans="1:7" ht="28" customHeight="1">
      <c r="A674" s="6">
        <v>567</v>
      </c>
      <c r="B674" s="8" t="s">
        <v>2558</v>
      </c>
      <c r="C674" s="7" t="s">
        <v>864</v>
      </c>
      <c r="D674" s="6" t="s">
        <v>935</v>
      </c>
      <c r="E674" s="6" t="s">
        <v>519</v>
      </c>
      <c r="F674" s="6" t="s">
        <v>456</v>
      </c>
      <c r="G674" s="6" t="s">
        <v>452</v>
      </c>
    </row>
    <row r="675" spans="1:7" ht="28" customHeight="1">
      <c r="A675" s="8">
        <v>568</v>
      </c>
      <c r="B675" s="8" t="s">
        <v>2558</v>
      </c>
      <c r="C675" s="9" t="s">
        <v>864</v>
      </c>
      <c r="D675" s="8" t="s">
        <v>936</v>
      </c>
      <c r="E675" s="8" t="s">
        <v>451</v>
      </c>
      <c r="F675" s="8" t="s">
        <v>455</v>
      </c>
      <c r="G675" s="8" t="s">
        <v>452</v>
      </c>
    </row>
    <row r="676" spans="1:7" ht="28" customHeight="1">
      <c r="A676" s="6">
        <v>569</v>
      </c>
      <c r="B676" s="8" t="s">
        <v>2558</v>
      </c>
      <c r="C676" s="7" t="s">
        <v>864</v>
      </c>
      <c r="D676" s="6" t="s">
        <v>937</v>
      </c>
      <c r="E676" s="6" t="s">
        <v>451</v>
      </c>
      <c r="F676" s="6" t="s">
        <v>455</v>
      </c>
      <c r="G676" s="6" t="s">
        <v>452</v>
      </c>
    </row>
    <row r="677" spans="1:7" ht="28" customHeight="1">
      <c r="A677" s="8">
        <v>570</v>
      </c>
      <c r="B677" s="8" t="s">
        <v>2558</v>
      </c>
      <c r="C677" s="9" t="s">
        <v>864</v>
      </c>
      <c r="D677" s="8" t="s">
        <v>938</v>
      </c>
      <c r="E677" s="8" t="s">
        <v>465</v>
      </c>
      <c r="F677" s="8" t="s">
        <v>455</v>
      </c>
      <c r="G677" s="8" t="s">
        <v>452</v>
      </c>
    </row>
    <row r="678" spans="1:7" ht="28" customHeight="1">
      <c r="A678" s="8">
        <v>570</v>
      </c>
      <c r="B678" s="8" t="s">
        <v>2558</v>
      </c>
      <c r="C678" s="9" t="s">
        <v>864</v>
      </c>
      <c r="D678" s="8" t="s">
        <v>939</v>
      </c>
      <c r="E678" s="8" t="s">
        <v>462</v>
      </c>
      <c r="F678" s="8" t="s">
        <v>552</v>
      </c>
      <c r="G678" s="8" t="s">
        <v>452</v>
      </c>
    </row>
    <row r="679" spans="1:7" ht="28" customHeight="1">
      <c r="A679" s="6">
        <v>571</v>
      </c>
      <c r="B679" s="8" t="s">
        <v>2558</v>
      </c>
      <c r="C679" s="7" t="s">
        <v>864</v>
      </c>
      <c r="D679" s="6" t="s">
        <v>940</v>
      </c>
      <c r="E679" s="6" t="s">
        <v>465</v>
      </c>
      <c r="F679" s="6" t="s">
        <v>455</v>
      </c>
      <c r="G679" s="6" t="s">
        <v>452</v>
      </c>
    </row>
    <row r="680" spans="1:7" ht="28" customHeight="1">
      <c r="A680" s="6">
        <v>571</v>
      </c>
      <c r="B680" s="8" t="s">
        <v>2558</v>
      </c>
      <c r="C680" s="7" t="s">
        <v>864</v>
      </c>
      <c r="D680" s="6" t="s">
        <v>941</v>
      </c>
      <c r="E680" s="6" t="s">
        <v>462</v>
      </c>
      <c r="F680" s="6" t="s">
        <v>552</v>
      </c>
      <c r="G680" s="6" t="s">
        <v>452</v>
      </c>
    </row>
    <row r="681" spans="1:7" ht="28" customHeight="1">
      <c r="A681" s="8">
        <v>572</v>
      </c>
      <c r="B681" s="8" t="s">
        <v>2558</v>
      </c>
      <c r="C681" s="9" t="s">
        <v>864</v>
      </c>
      <c r="D681" s="8" t="s">
        <v>942</v>
      </c>
      <c r="E681" s="8" t="s">
        <v>462</v>
      </c>
      <c r="F681" s="8" t="s">
        <v>455</v>
      </c>
      <c r="G681" s="8" t="s">
        <v>452</v>
      </c>
    </row>
    <row r="682" spans="1:7" ht="28" customHeight="1">
      <c r="A682" s="6">
        <v>573</v>
      </c>
      <c r="B682" s="8" t="s">
        <v>2558</v>
      </c>
      <c r="C682" s="7" t="s">
        <v>864</v>
      </c>
      <c r="D682" s="6" t="s">
        <v>943</v>
      </c>
      <c r="E682" s="6" t="s">
        <v>462</v>
      </c>
      <c r="F682" s="6" t="s">
        <v>455</v>
      </c>
      <c r="G682" s="6" t="s">
        <v>452</v>
      </c>
    </row>
    <row r="683" spans="1:7" ht="28" customHeight="1">
      <c r="A683" s="8">
        <v>574</v>
      </c>
      <c r="B683" s="8" t="s">
        <v>2558</v>
      </c>
      <c r="C683" s="9" t="s">
        <v>864</v>
      </c>
      <c r="D683" s="8" t="s">
        <v>944</v>
      </c>
      <c r="E683" s="8" t="s">
        <v>481</v>
      </c>
      <c r="F683" s="8" t="s">
        <v>455</v>
      </c>
      <c r="G683" s="8" t="s">
        <v>452</v>
      </c>
    </row>
    <row r="684" spans="1:7" ht="28" customHeight="1">
      <c r="A684" s="6">
        <v>575</v>
      </c>
      <c r="B684" s="8" t="s">
        <v>2558</v>
      </c>
      <c r="C684" s="7" t="s">
        <v>864</v>
      </c>
      <c r="D684" s="6" t="s">
        <v>945</v>
      </c>
      <c r="E684" s="6" t="s">
        <v>481</v>
      </c>
      <c r="F684" s="6" t="s">
        <v>455</v>
      </c>
      <c r="G684" s="6" t="s">
        <v>452</v>
      </c>
    </row>
    <row r="685" spans="1:7" ht="28" customHeight="1">
      <c r="A685" s="8">
        <v>576</v>
      </c>
      <c r="B685" s="8" t="s">
        <v>2558</v>
      </c>
      <c r="C685" s="9" t="s">
        <v>864</v>
      </c>
      <c r="D685" s="8" t="s">
        <v>946</v>
      </c>
      <c r="E685" s="8" t="s">
        <v>481</v>
      </c>
      <c r="F685" s="8" t="s">
        <v>455</v>
      </c>
      <c r="G685" s="8" t="s">
        <v>452</v>
      </c>
    </row>
    <row r="686" spans="1:7" ht="28" customHeight="1">
      <c r="A686" s="6">
        <v>577</v>
      </c>
      <c r="B686" s="8" t="s">
        <v>2558</v>
      </c>
      <c r="C686" s="7" t="s">
        <v>864</v>
      </c>
      <c r="D686" s="6" t="s">
        <v>947</v>
      </c>
      <c r="E686" s="6" t="s">
        <v>481</v>
      </c>
      <c r="F686" s="6" t="s">
        <v>455</v>
      </c>
      <c r="G686" s="6" t="s">
        <v>452</v>
      </c>
    </row>
    <row r="687" spans="1:7" ht="28" customHeight="1">
      <c r="A687" s="8">
        <v>578</v>
      </c>
      <c r="B687" s="8" t="s">
        <v>2558</v>
      </c>
      <c r="C687" s="9" t="s">
        <v>864</v>
      </c>
      <c r="D687" s="8" t="s">
        <v>948</v>
      </c>
      <c r="E687" s="8" t="s">
        <v>481</v>
      </c>
      <c r="F687" s="8" t="s">
        <v>455</v>
      </c>
      <c r="G687" s="8" t="s">
        <v>452</v>
      </c>
    </row>
    <row r="688" spans="1:7" ht="28" customHeight="1">
      <c r="A688" s="6">
        <v>579</v>
      </c>
      <c r="B688" s="8" t="s">
        <v>2558</v>
      </c>
      <c r="C688" s="7" t="s">
        <v>864</v>
      </c>
      <c r="D688" s="6" t="s">
        <v>949</v>
      </c>
      <c r="E688" s="6" t="s">
        <v>481</v>
      </c>
      <c r="F688" s="6" t="s">
        <v>455</v>
      </c>
      <c r="G688" s="6" t="s">
        <v>452</v>
      </c>
    </row>
    <row r="689" spans="1:7" ht="28" customHeight="1">
      <c r="A689" s="8">
        <v>580</v>
      </c>
      <c r="B689" s="8" t="s">
        <v>2558</v>
      </c>
      <c r="C689" s="9" t="s">
        <v>864</v>
      </c>
      <c r="D689" s="8" t="s">
        <v>950</v>
      </c>
      <c r="E689" s="8" t="s">
        <v>457</v>
      </c>
      <c r="F689" s="8" t="s">
        <v>456</v>
      </c>
      <c r="G689" s="8" t="s">
        <v>452</v>
      </c>
    </row>
    <row r="690" spans="1:7" ht="28" customHeight="1">
      <c r="A690" s="6">
        <v>581</v>
      </c>
      <c r="B690" s="8" t="s">
        <v>2558</v>
      </c>
      <c r="C690" s="7" t="s">
        <v>864</v>
      </c>
      <c r="D690" s="6" t="s">
        <v>388</v>
      </c>
      <c r="E690" s="6" t="s">
        <v>457</v>
      </c>
      <c r="F690" s="6" t="s">
        <v>456</v>
      </c>
      <c r="G690" s="6" t="s">
        <v>452</v>
      </c>
    </row>
    <row r="691" spans="1:7" ht="28" customHeight="1">
      <c r="A691" s="8">
        <v>582</v>
      </c>
      <c r="B691" s="8" t="s">
        <v>2558</v>
      </c>
      <c r="C691" s="9" t="s">
        <v>864</v>
      </c>
      <c r="D691" s="8" t="s">
        <v>951</v>
      </c>
      <c r="E691" s="8" t="s">
        <v>485</v>
      </c>
      <c r="F691" s="8" t="s">
        <v>455</v>
      </c>
      <c r="G691" s="8" t="s">
        <v>452</v>
      </c>
    </row>
    <row r="692" spans="1:7" ht="28" customHeight="1">
      <c r="A692" s="6">
        <v>583</v>
      </c>
      <c r="B692" s="8" t="s">
        <v>2558</v>
      </c>
      <c r="C692" s="7" t="s">
        <v>864</v>
      </c>
      <c r="D692" s="6" t="s">
        <v>952</v>
      </c>
      <c r="E692" s="6" t="s">
        <v>485</v>
      </c>
      <c r="F692" s="6" t="s">
        <v>455</v>
      </c>
      <c r="G692" s="6" t="s">
        <v>452</v>
      </c>
    </row>
    <row r="693" spans="1:7" ht="28" customHeight="1">
      <c r="A693" s="8">
        <v>584</v>
      </c>
      <c r="B693" s="8" t="s">
        <v>2558</v>
      </c>
      <c r="C693" s="9" t="s">
        <v>864</v>
      </c>
      <c r="D693" s="8" t="s">
        <v>953</v>
      </c>
      <c r="E693" s="8" t="s">
        <v>485</v>
      </c>
      <c r="F693" s="8" t="s">
        <v>455</v>
      </c>
      <c r="G693" s="8" t="s">
        <v>452</v>
      </c>
    </row>
    <row r="694" spans="1:7" ht="28" customHeight="1">
      <c r="A694" s="6">
        <v>585</v>
      </c>
      <c r="B694" s="8" t="s">
        <v>2558</v>
      </c>
      <c r="C694" s="7" t="s">
        <v>864</v>
      </c>
      <c r="D694" s="6" t="s">
        <v>954</v>
      </c>
      <c r="E694" s="6" t="s">
        <v>462</v>
      </c>
      <c r="F694" s="6" t="s">
        <v>450</v>
      </c>
      <c r="G694" s="6" t="s">
        <v>452</v>
      </c>
    </row>
    <row r="695" spans="1:7" ht="28" customHeight="1">
      <c r="A695" s="6">
        <v>585</v>
      </c>
      <c r="B695" s="8" t="s">
        <v>2558</v>
      </c>
      <c r="C695" s="7" t="s">
        <v>864</v>
      </c>
      <c r="D695" s="6" t="s">
        <v>955</v>
      </c>
      <c r="E695" s="6" t="s">
        <v>462</v>
      </c>
      <c r="F695" s="6" t="s">
        <v>450</v>
      </c>
      <c r="G695" s="6" t="s">
        <v>452</v>
      </c>
    </row>
    <row r="696" spans="1:7" ht="28" customHeight="1">
      <c r="A696" s="6">
        <v>585</v>
      </c>
      <c r="B696" s="8" t="s">
        <v>2558</v>
      </c>
      <c r="C696" s="7" t="s">
        <v>864</v>
      </c>
      <c r="D696" s="6" t="s">
        <v>956</v>
      </c>
      <c r="E696" s="6" t="s">
        <v>462</v>
      </c>
      <c r="F696" s="6" t="s">
        <v>450</v>
      </c>
      <c r="G696" s="6" t="s">
        <v>452</v>
      </c>
    </row>
    <row r="697" spans="1:7" ht="28" customHeight="1">
      <c r="A697" s="6">
        <v>585</v>
      </c>
      <c r="B697" s="8" t="s">
        <v>2558</v>
      </c>
      <c r="C697" s="7" t="s">
        <v>864</v>
      </c>
      <c r="D697" s="6" t="s">
        <v>957</v>
      </c>
      <c r="E697" s="6" t="s">
        <v>462</v>
      </c>
      <c r="F697" s="6" t="s">
        <v>450</v>
      </c>
      <c r="G697" s="6" t="s">
        <v>452</v>
      </c>
    </row>
    <row r="698" spans="1:7" ht="28" customHeight="1">
      <c r="A698" s="8">
        <v>586</v>
      </c>
      <c r="B698" s="8" t="s">
        <v>2558</v>
      </c>
      <c r="C698" s="9" t="s">
        <v>864</v>
      </c>
      <c r="D698" s="8" t="s">
        <v>958</v>
      </c>
      <c r="E698" s="8" t="s">
        <v>462</v>
      </c>
      <c r="F698" s="8" t="s">
        <v>450</v>
      </c>
      <c r="G698" s="8" t="s">
        <v>452</v>
      </c>
    </row>
    <row r="699" spans="1:7" ht="28" customHeight="1">
      <c r="A699" s="8">
        <v>586</v>
      </c>
      <c r="B699" s="8" t="s">
        <v>2558</v>
      </c>
      <c r="C699" s="9" t="s">
        <v>864</v>
      </c>
      <c r="D699" s="8" t="s">
        <v>959</v>
      </c>
      <c r="E699" s="8" t="s">
        <v>462</v>
      </c>
      <c r="F699" s="8" t="s">
        <v>450</v>
      </c>
      <c r="G699" s="8" t="s">
        <v>452</v>
      </c>
    </row>
    <row r="700" spans="1:7" ht="28" customHeight="1">
      <c r="A700" s="8">
        <v>586</v>
      </c>
      <c r="B700" s="8" t="s">
        <v>2558</v>
      </c>
      <c r="C700" s="9" t="s">
        <v>864</v>
      </c>
      <c r="D700" s="8" t="s">
        <v>960</v>
      </c>
      <c r="E700" s="8" t="s">
        <v>462</v>
      </c>
      <c r="F700" s="8" t="s">
        <v>450</v>
      </c>
      <c r="G700" s="8" t="s">
        <v>452</v>
      </c>
    </row>
    <row r="701" spans="1:7" ht="28" customHeight="1">
      <c r="A701" s="8">
        <v>586</v>
      </c>
      <c r="B701" s="8" t="s">
        <v>2558</v>
      </c>
      <c r="C701" s="9" t="s">
        <v>864</v>
      </c>
      <c r="D701" s="8" t="s">
        <v>961</v>
      </c>
      <c r="E701" s="8" t="s">
        <v>462</v>
      </c>
      <c r="F701" s="8" t="s">
        <v>450</v>
      </c>
      <c r="G701" s="8" t="s">
        <v>452</v>
      </c>
    </row>
    <row r="702" spans="1:7" ht="28" customHeight="1">
      <c r="A702" s="6">
        <v>587</v>
      </c>
      <c r="B702" s="8" t="s">
        <v>2558</v>
      </c>
      <c r="C702" s="7" t="s">
        <v>864</v>
      </c>
      <c r="D702" s="6" t="s">
        <v>962</v>
      </c>
      <c r="E702" s="6" t="s">
        <v>471</v>
      </c>
      <c r="F702" s="6" t="s">
        <v>456</v>
      </c>
      <c r="G702" s="6" t="s">
        <v>542</v>
      </c>
    </row>
    <row r="703" spans="1:7" ht="28" customHeight="1">
      <c r="A703" s="8">
        <v>588</v>
      </c>
      <c r="B703" s="8" t="s">
        <v>2558</v>
      </c>
      <c r="C703" s="9" t="s">
        <v>864</v>
      </c>
      <c r="D703" s="8" t="s">
        <v>963</v>
      </c>
      <c r="E703" s="8" t="s">
        <v>460</v>
      </c>
      <c r="F703" s="8" t="s">
        <v>455</v>
      </c>
      <c r="G703" s="8" t="s">
        <v>452</v>
      </c>
    </row>
    <row r="704" spans="1:7" ht="28" customHeight="1">
      <c r="A704" s="6">
        <v>589</v>
      </c>
      <c r="B704" s="8" t="s">
        <v>2558</v>
      </c>
      <c r="C704" s="7" t="s">
        <v>864</v>
      </c>
      <c r="D704" s="6" t="s">
        <v>964</v>
      </c>
      <c r="E704" s="6" t="s">
        <v>460</v>
      </c>
      <c r="F704" s="6" t="s">
        <v>486</v>
      </c>
      <c r="G704" s="6" t="s">
        <v>452</v>
      </c>
    </row>
    <row r="705" spans="1:7" ht="28" customHeight="1">
      <c r="A705" s="8">
        <v>590</v>
      </c>
      <c r="B705" s="8" t="s">
        <v>2558</v>
      </c>
      <c r="C705" s="9" t="s">
        <v>864</v>
      </c>
      <c r="D705" s="8" t="s">
        <v>965</v>
      </c>
      <c r="E705" s="8" t="s">
        <v>450</v>
      </c>
      <c r="F705" s="8" t="s">
        <v>451</v>
      </c>
      <c r="G705" s="8" t="s">
        <v>452</v>
      </c>
    </row>
    <row r="706" spans="1:7" ht="28" customHeight="1">
      <c r="A706" s="6">
        <v>591</v>
      </c>
      <c r="B706" s="8" t="s">
        <v>2558</v>
      </c>
      <c r="C706" s="7" t="s">
        <v>864</v>
      </c>
      <c r="D706" s="6" t="s">
        <v>966</v>
      </c>
      <c r="E706" s="6" t="s">
        <v>450</v>
      </c>
      <c r="F706" s="6" t="s">
        <v>451</v>
      </c>
      <c r="G706" s="6" t="s">
        <v>452</v>
      </c>
    </row>
    <row r="707" spans="1:7" ht="28" customHeight="1">
      <c r="A707" s="8">
        <v>592</v>
      </c>
      <c r="B707" s="8" t="s">
        <v>2558</v>
      </c>
      <c r="C707" s="9" t="s">
        <v>864</v>
      </c>
      <c r="D707" s="8" t="s">
        <v>2209</v>
      </c>
      <c r="E707" s="8" t="s">
        <v>457</v>
      </c>
      <c r="F707" s="8" t="s">
        <v>552</v>
      </c>
      <c r="G707" s="8" t="s">
        <v>452</v>
      </c>
    </row>
    <row r="708" spans="1:7" ht="28" customHeight="1">
      <c r="A708" s="6">
        <v>593</v>
      </c>
      <c r="B708" s="8" t="s">
        <v>2558</v>
      </c>
      <c r="C708" s="7" t="s">
        <v>864</v>
      </c>
      <c r="D708" s="6" t="s">
        <v>2211</v>
      </c>
      <c r="E708" s="6" t="s">
        <v>457</v>
      </c>
      <c r="F708" s="6" t="s">
        <v>552</v>
      </c>
      <c r="G708" s="6" t="s">
        <v>452</v>
      </c>
    </row>
    <row r="709" spans="1:7" ht="28" customHeight="1">
      <c r="A709" s="8">
        <v>594</v>
      </c>
      <c r="B709" s="8" t="s">
        <v>2558</v>
      </c>
      <c r="C709" s="9" t="s">
        <v>864</v>
      </c>
      <c r="D709" s="8" t="s">
        <v>967</v>
      </c>
      <c r="E709" s="8" t="s">
        <v>457</v>
      </c>
      <c r="F709" s="8" t="s">
        <v>455</v>
      </c>
      <c r="G709" s="8" t="s">
        <v>542</v>
      </c>
    </row>
    <row r="710" spans="1:7" ht="28" customHeight="1">
      <c r="A710" s="6">
        <v>595</v>
      </c>
      <c r="B710" s="8" t="s">
        <v>2558</v>
      </c>
      <c r="C710" s="7" t="s">
        <v>864</v>
      </c>
      <c r="D710" s="6" t="s">
        <v>968</v>
      </c>
      <c r="E710" s="13" t="s">
        <v>460</v>
      </c>
      <c r="F710" s="6" t="s">
        <v>471</v>
      </c>
      <c r="G710" s="6" t="s">
        <v>452</v>
      </c>
    </row>
    <row r="711" spans="1:7" ht="28" customHeight="1">
      <c r="A711" s="8">
        <v>596</v>
      </c>
      <c r="B711" s="8" t="s">
        <v>2558</v>
      </c>
      <c r="C711" s="9" t="s">
        <v>864</v>
      </c>
      <c r="D711" s="8" t="s">
        <v>969</v>
      </c>
      <c r="E711" s="10" t="s">
        <v>460</v>
      </c>
      <c r="F711" s="8" t="s">
        <v>471</v>
      </c>
      <c r="G711" s="8" t="s">
        <v>452</v>
      </c>
    </row>
    <row r="712" spans="1:7" ht="28" customHeight="1">
      <c r="A712" s="6">
        <v>597</v>
      </c>
      <c r="B712" s="8" t="s">
        <v>2558</v>
      </c>
      <c r="C712" s="7" t="s">
        <v>864</v>
      </c>
      <c r="D712" s="6" t="s">
        <v>970</v>
      </c>
      <c r="E712" s="6" t="s">
        <v>450</v>
      </c>
      <c r="F712" s="6" t="s">
        <v>486</v>
      </c>
      <c r="G712" s="6" t="s">
        <v>452</v>
      </c>
    </row>
    <row r="713" spans="1:7" ht="28" customHeight="1">
      <c r="A713" s="8">
        <v>598</v>
      </c>
      <c r="B713" s="8" t="s">
        <v>2558</v>
      </c>
      <c r="C713" s="9" t="s">
        <v>864</v>
      </c>
      <c r="D713" s="8" t="s">
        <v>971</v>
      </c>
      <c r="E713" s="8" t="s">
        <v>450</v>
      </c>
      <c r="F713" s="8" t="s">
        <v>486</v>
      </c>
      <c r="G713" s="8" t="s">
        <v>452</v>
      </c>
    </row>
    <row r="714" spans="1:7" ht="28" customHeight="1">
      <c r="A714" s="6">
        <v>599</v>
      </c>
      <c r="B714" s="8" t="s">
        <v>2558</v>
      </c>
      <c r="C714" s="7" t="s">
        <v>864</v>
      </c>
      <c r="D714" s="6" t="s">
        <v>972</v>
      </c>
      <c r="E714" s="6" t="s">
        <v>486</v>
      </c>
      <c r="F714" s="6" t="s">
        <v>455</v>
      </c>
      <c r="G714" s="6" t="s">
        <v>452</v>
      </c>
    </row>
    <row r="715" spans="1:7" ht="28" customHeight="1">
      <c r="A715" s="8">
        <v>600</v>
      </c>
      <c r="B715" s="8" t="s">
        <v>2558</v>
      </c>
      <c r="C715" s="9" t="s">
        <v>864</v>
      </c>
      <c r="D715" s="8" t="s">
        <v>973</v>
      </c>
      <c r="E715" s="8" t="s">
        <v>486</v>
      </c>
      <c r="F715" s="8" t="s">
        <v>455</v>
      </c>
      <c r="G715" s="8" t="s">
        <v>452</v>
      </c>
    </row>
    <row r="716" spans="1:7" ht="28" customHeight="1">
      <c r="A716" s="6">
        <v>601</v>
      </c>
      <c r="B716" s="8" t="s">
        <v>2558</v>
      </c>
      <c r="C716" s="7" t="s">
        <v>864</v>
      </c>
      <c r="D716" s="6" t="s">
        <v>974</v>
      </c>
      <c r="E716" s="6" t="s">
        <v>486</v>
      </c>
      <c r="F716" s="6" t="s">
        <v>455</v>
      </c>
      <c r="G716" s="6" t="s">
        <v>452</v>
      </c>
    </row>
    <row r="717" spans="1:7" ht="28" customHeight="1">
      <c r="A717" s="8">
        <v>602</v>
      </c>
      <c r="B717" s="8" t="s">
        <v>2558</v>
      </c>
      <c r="C717" s="9" t="s">
        <v>864</v>
      </c>
      <c r="D717" s="8" t="s">
        <v>975</v>
      </c>
      <c r="E717" s="8" t="s">
        <v>471</v>
      </c>
      <c r="F717" s="8" t="s">
        <v>455</v>
      </c>
      <c r="G717" s="8" t="s">
        <v>452</v>
      </c>
    </row>
    <row r="718" spans="1:7" ht="28" customHeight="1">
      <c r="A718" s="6">
        <v>603</v>
      </c>
      <c r="B718" s="8" t="s">
        <v>2558</v>
      </c>
      <c r="C718" s="7" t="s">
        <v>864</v>
      </c>
      <c r="D718" s="6" t="s">
        <v>976</v>
      </c>
      <c r="E718" s="6" t="s">
        <v>471</v>
      </c>
      <c r="F718" s="6" t="s">
        <v>455</v>
      </c>
      <c r="G718" s="6" t="s">
        <v>452</v>
      </c>
    </row>
    <row r="719" spans="1:7" ht="28" customHeight="1">
      <c r="A719" s="8">
        <v>604</v>
      </c>
      <c r="B719" s="8" t="s">
        <v>2558</v>
      </c>
      <c r="C719" s="9" t="s">
        <v>864</v>
      </c>
      <c r="D719" s="8" t="s">
        <v>977</v>
      </c>
      <c r="E719" s="8" t="s">
        <v>471</v>
      </c>
      <c r="F719" s="8" t="s">
        <v>455</v>
      </c>
      <c r="G719" s="8" t="s">
        <v>452</v>
      </c>
    </row>
    <row r="720" spans="1:7" ht="28" customHeight="1">
      <c r="A720" s="6">
        <v>605</v>
      </c>
      <c r="B720" s="8" t="s">
        <v>2558</v>
      </c>
      <c r="C720" s="7" t="s">
        <v>864</v>
      </c>
      <c r="D720" s="6" t="s">
        <v>978</v>
      </c>
      <c r="E720" s="6" t="s">
        <v>481</v>
      </c>
      <c r="F720" s="6" t="s">
        <v>455</v>
      </c>
      <c r="G720" s="6" t="s">
        <v>452</v>
      </c>
    </row>
    <row r="721" spans="1:7" ht="28" customHeight="1">
      <c r="A721" s="8">
        <v>606</v>
      </c>
      <c r="B721" s="8" t="s">
        <v>2558</v>
      </c>
      <c r="C721" s="9" t="s">
        <v>864</v>
      </c>
      <c r="D721" s="8" t="s">
        <v>979</v>
      </c>
      <c r="E721" s="8" t="s">
        <v>481</v>
      </c>
      <c r="F721" s="8" t="s">
        <v>455</v>
      </c>
      <c r="G721" s="8" t="s">
        <v>452</v>
      </c>
    </row>
    <row r="722" spans="1:7" ht="28" customHeight="1">
      <c r="A722" s="6">
        <v>607</v>
      </c>
      <c r="B722" s="8" t="s">
        <v>2558</v>
      </c>
      <c r="C722" s="7" t="s">
        <v>864</v>
      </c>
      <c r="D722" s="6" t="s">
        <v>980</v>
      </c>
      <c r="E722" s="6" t="s">
        <v>552</v>
      </c>
      <c r="F722" s="6" t="s">
        <v>454</v>
      </c>
      <c r="G722" s="6" t="s">
        <v>452</v>
      </c>
    </row>
    <row r="723" spans="1:7" ht="28" customHeight="1">
      <c r="A723" s="8">
        <v>608</v>
      </c>
      <c r="B723" s="8" t="s">
        <v>2558</v>
      </c>
      <c r="C723" s="9" t="s">
        <v>864</v>
      </c>
      <c r="D723" s="8" t="s">
        <v>981</v>
      </c>
      <c r="E723" s="8" t="s">
        <v>552</v>
      </c>
      <c r="F723" s="8" t="s">
        <v>454</v>
      </c>
      <c r="G723" s="8" t="s">
        <v>452</v>
      </c>
    </row>
    <row r="724" spans="1:7" ht="28" customHeight="1">
      <c r="A724" s="6">
        <v>609</v>
      </c>
      <c r="B724" s="8" t="s">
        <v>2558</v>
      </c>
      <c r="C724" s="7" t="s">
        <v>864</v>
      </c>
      <c r="D724" s="6" t="s">
        <v>391</v>
      </c>
      <c r="E724" s="6" t="s">
        <v>552</v>
      </c>
      <c r="F724" s="6" t="s">
        <v>454</v>
      </c>
      <c r="G724" s="6" t="s">
        <v>452</v>
      </c>
    </row>
    <row r="725" spans="1:7" ht="28" customHeight="1">
      <c r="A725" s="8">
        <v>610</v>
      </c>
      <c r="B725" s="8" t="s">
        <v>2558</v>
      </c>
      <c r="C725" s="9" t="s">
        <v>864</v>
      </c>
      <c r="D725" s="8" t="s">
        <v>982</v>
      </c>
      <c r="E725" s="8" t="s">
        <v>561</v>
      </c>
      <c r="F725" s="8" t="s">
        <v>455</v>
      </c>
      <c r="G725" s="8" t="s">
        <v>452</v>
      </c>
    </row>
    <row r="726" spans="1:7" ht="28" customHeight="1">
      <c r="A726" s="6">
        <v>611</v>
      </c>
      <c r="B726" s="8" t="s">
        <v>2558</v>
      </c>
      <c r="C726" s="7" t="s">
        <v>864</v>
      </c>
      <c r="D726" s="6" t="s">
        <v>983</v>
      </c>
      <c r="E726" s="6" t="s">
        <v>561</v>
      </c>
      <c r="F726" s="6" t="s">
        <v>455</v>
      </c>
      <c r="G726" s="6" t="s">
        <v>452</v>
      </c>
    </row>
    <row r="727" spans="1:7" ht="28" customHeight="1">
      <c r="A727" s="8">
        <v>612</v>
      </c>
      <c r="B727" s="8" t="s">
        <v>2558</v>
      </c>
      <c r="C727" s="9" t="s">
        <v>864</v>
      </c>
      <c r="D727" s="8" t="s">
        <v>984</v>
      </c>
      <c r="E727" s="8" t="s">
        <v>561</v>
      </c>
      <c r="F727" s="8" t="s">
        <v>455</v>
      </c>
      <c r="G727" s="8" t="s">
        <v>452</v>
      </c>
    </row>
    <row r="728" spans="1:7" ht="28" customHeight="1">
      <c r="A728" s="6">
        <v>613</v>
      </c>
      <c r="B728" s="8" t="s">
        <v>2558</v>
      </c>
      <c r="C728" s="7" t="s">
        <v>864</v>
      </c>
      <c r="D728" s="6" t="s">
        <v>985</v>
      </c>
      <c r="E728" s="6" t="s">
        <v>485</v>
      </c>
      <c r="F728" s="6" t="s">
        <v>455</v>
      </c>
      <c r="G728" s="6" t="s">
        <v>452</v>
      </c>
    </row>
    <row r="729" spans="1:7" ht="28" customHeight="1">
      <c r="A729" s="8">
        <v>614</v>
      </c>
      <c r="B729" s="8" t="s">
        <v>2558</v>
      </c>
      <c r="C729" s="9" t="s">
        <v>864</v>
      </c>
      <c r="D729" s="8" t="s">
        <v>986</v>
      </c>
      <c r="E729" s="8" t="s">
        <v>485</v>
      </c>
      <c r="F729" s="8" t="s">
        <v>455</v>
      </c>
      <c r="G729" s="8" t="s">
        <v>452</v>
      </c>
    </row>
    <row r="730" spans="1:7" ht="28" customHeight="1">
      <c r="A730" s="6">
        <v>615</v>
      </c>
      <c r="B730" s="8" t="s">
        <v>2558</v>
      </c>
      <c r="C730" s="7" t="s">
        <v>864</v>
      </c>
      <c r="D730" s="6" t="s">
        <v>987</v>
      </c>
      <c r="E730" s="6" t="s">
        <v>485</v>
      </c>
      <c r="F730" s="6" t="s">
        <v>455</v>
      </c>
      <c r="G730" s="6" t="s">
        <v>542</v>
      </c>
    </row>
    <row r="731" spans="1:7" ht="28" customHeight="1">
      <c r="A731" s="8">
        <v>616</v>
      </c>
      <c r="B731" s="8" t="s">
        <v>2558</v>
      </c>
      <c r="C731" s="9" t="s">
        <v>864</v>
      </c>
      <c r="D731" s="8" t="s">
        <v>988</v>
      </c>
      <c r="E731" s="8" t="s">
        <v>460</v>
      </c>
      <c r="F731" s="8" t="s">
        <v>455</v>
      </c>
      <c r="G731" s="8" t="s">
        <v>452</v>
      </c>
    </row>
    <row r="732" spans="1:7" ht="28" customHeight="1">
      <c r="A732" s="6">
        <v>617</v>
      </c>
      <c r="B732" s="8" t="s">
        <v>2558</v>
      </c>
      <c r="C732" s="7" t="s">
        <v>864</v>
      </c>
      <c r="D732" s="6" t="s">
        <v>989</v>
      </c>
      <c r="E732" s="6" t="s">
        <v>460</v>
      </c>
      <c r="F732" s="6" t="s">
        <v>455</v>
      </c>
      <c r="G732" s="6" t="s">
        <v>452</v>
      </c>
    </row>
    <row r="733" spans="1:7" ht="28" customHeight="1">
      <c r="A733" s="8">
        <v>618</v>
      </c>
      <c r="B733" s="8" t="s">
        <v>2558</v>
      </c>
      <c r="C733" s="9" t="s">
        <v>864</v>
      </c>
      <c r="D733" s="8" t="s">
        <v>393</v>
      </c>
      <c r="E733" s="8" t="s">
        <v>483</v>
      </c>
      <c r="F733" s="8" t="s">
        <v>471</v>
      </c>
      <c r="G733" s="8" t="s">
        <v>542</v>
      </c>
    </row>
    <row r="734" spans="1:7" ht="28" customHeight="1">
      <c r="A734" s="8">
        <v>618</v>
      </c>
      <c r="B734" s="8" t="s">
        <v>2558</v>
      </c>
      <c r="C734" s="9" t="s">
        <v>864</v>
      </c>
      <c r="D734" s="8" t="s">
        <v>990</v>
      </c>
      <c r="E734" s="8" t="s">
        <v>483</v>
      </c>
      <c r="F734" s="8" t="s">
        <v>486</v>
      </c>
      <c r="G734" s="8" t="s">
        <v>542</v>
      </c>
    </row>
    <row r="735" spans="1:7" ht="28" customHeight="1">
      <c r="A735" s="6">
        <v>619</v>
      </c>
      <c r="B735" s="8" t="s">
        <v>2558</v>
      </c>
      <c r="C735" s="7" t="s">
        <v>864</v>
      </c>
      <c r="D735" s="6" t="s">
        <v>991</v>
      </c>
      <c r="E735" s="6" t="s">
        <v>515</v>
      </c>
      <c r="F735" s="6" t="s">
        <v>455</v>
      </c>
      <c r="G735" s="6" t="s">
        <v>452</v>
      </c>
    </row>
    <row r="736" spans="1:7" ht="28" customHeight="1">
      <c r="A736" s="8">
        <v>620</v>
      </c>
      <c r="B736" s="8" t="s">
        <v>2558</v>
      </c>
      <c r="C736" s="9" t="s">
        <v>864</v>
      </c>
      <c r="D736" s="8" t="s">
        <v>992</v>
      </c>
      <c r="E736" s="8" t="s">
        <v>515</v>
      </c>
      <c r="F736" s="8" t="s">
        <v>455</v>
      </c>
      <c r="G736" s="8" t="s">
        <v>452</v>
      </c>
    </row>
    <row r="737" spans="1:7" ht="28" customHeight="1">
      <c r="A737" s="6">
        <v>621</v>
      </c>
      <c r="B737" s="8" t="s">
        <v>2558</v>
      </c>
      <c r="C737" s="7" t="s">
        <v>864</v>
      </c>
      <c r="D737" s="6" t="s">
        <v>394</v>
      </c>
      <c r="E737" s="6" t="s">
        <v>561</v>
      </c>
      <c r="F737" s="6" t="s">
        <v>455</v>
      </c>
      <c r="G737" s="6" t="s">
        <v>542</v>
      </c>
    </row>
    <row r="738" spans="1:7" ht="28" customHeight="1">
      <c r="A738" s="8">
        <v>622</v>
      </c>
      <c r="B738" s="8" t="s">
        <v>2558</v>
      </c>
      <c r="C738" s="9" t="s">
        <v>864</v>
      </c>
      <c r="D738" s="8" t="s">
        <v>993</v>
      </c>
      <c r="E738" s="8" t="s">
        <v>483</v>
      </c>
      <c r="F738" s="8" t="s">
        <v>552</v>
      </c>
      <c r="G738" s="8" t="s">
        <v>452</v>
      </c>
    </row>
    <row r="739" spans="1:7" ht="28" customHeight="1">
      <c r="A739" s="6">
        <v>623</v>
      </c>
      <c r="B739" s="8" t="s">
        <v>2558</v>
      </c>
      <c r="C739" s="7" t="s">
        <v>864</v>
      </c>
      <c r="D739" s="6" t="s">
        <v>397</v>
      </c>
      <c r="E739" s="6" t="s">
        <v>483</v>
      </c>
      <c r="F739" s="6" t="s">
        <v>552</v>
      </c>
      <c r="G739" s="6" t="s">
        <v>452</v>
      </c>
    </row>
    <row r="740" spans="1:7" ht="28" customHeight="1">
      <c r="A740" s="8">
        <v>624</v>
      </c>
      <c r="B740" s="8" t="s">
        <v>2558</v>
      </c>
      <c r="C740" s="9" t="s">
        <v>864</v>
      </c>
      <c r="D740" s="8" t="s">
        <v>994</v>
      </c>
      <c r="E740" s="8" t="s">
        <v>465</v>
      </c>
      <c r="F740" s="8" t="s">
        <v>486</v>
      </c>
      <c r="G740" s="8" t="s">
        <v>452</v>
      </c>
    </row>
    <row r="741" spans="1:7" ht="28" customHeight="1">
      <c r="A741" s="6">
        <v>625</v>
      </c>
      <c r="B741" s="8" t="s">
        <v>2558</v>
      </c>
      <c r="C741" s="7" t="s">
        <v>864</v>
      </c>
      <c r="D741" s="6" t="s">
        <v>995</v>
      </c>
      <c r="E741" s="6" t="s">
        <v>465</v>
      </c>
      <c r="F741" s="6" t="s">
        <v>486</v>
      </c>
      <c r="G741" s="6" t="s">
        <v>452</v>
      </c>
    </row>
    <row r="742" spans="1:7" ht="28" customHeight="1">
      <c r="A742" s="8">
        <v>626</v>
      </c>
      <c r="B742" s="8" t="s">
        <v>2558</v>
      </c>
      <c r="C742" s="9" t="s">
        <v>864</v>
      </c>
      <c r="D742" s="8" t="s">
        <v>996</v>
      </c>
      <c r="E742" s="8" t="s">
        <v>462</v>
      </c>
      <c r="F742" s="8" t="s">
        <v>455</v>
      </c>
      <c r="G742" s="8" t="s">
        <v>542</v>
      </c>
    </row>
    <row r="743" spans="1:7" ht="28" customHeight="1">
      <c r="A743" s="6">
        <v>627</v>
      </c>
      <c r="B743" s="8" t="s">
        <v>2558</v>
      </c>
      <c r="C743" s="7" t="s">
        <v>864</v>
      </c>
      <c r="D743" s="6" t="s">
        <v>997</v>
      </c>
      <c r="E743" s="6" t="s">
        <v>462</v>
      </c>
      <c r="F743" s="6" t="s">
        <v>456</v>
      </c>
      <c r="G743" s="6" t="s">
        <v>452</v>
      </c>
    </row>
    <row r="744" spans="1:7" ht="28" customHeight="1">
      <c r="A744" s="8">
        <v>628</v>
      </c>
      <c r="B744" s="8" t="s">
        <v>2558</v>
      </c>
      <c r="C744" s="9" t="s">
        <v>864</v>
      </c>
      <c r="D744" s="8" t="s">
        <v>998</v>
      </c>
      <c r="E744" s="8" t="s">
        <v>462</v>
      </c>
      <c r="F744" s="8" t="s">
        <v>456</v>
      </c>
      <c r="G744" s="8" t="s">
        <v>452</v>
      </c>
    </row>
    <row r="745" spans="1:7" ht="28" customHeight="1">
      <c r="A745" s="8">
        <v>628</v>
      </c>
      <c r="B745" s="8" t="s">
        <v>2558</v>
      </c>
      <c r="C745" s="9" t="s">
        <v>864</v>
      </c>
      <c r="D745" s="8" t="s">
        <v>999</v>
      </c>
      <c r="E745" s="8" t="s">
        <v>481</v>
      </c>
      <c r="F745" s="8" t="s">
        <v>456</v>
      </c>
      <c r="G745" s="8" t="s">
        <v>452</v>
      </c>
    </row>
    <row r="746" spans="1:7" ht="28" customHeight="1">
      <c r="A746" s="6">
        <v>629</v>
      </c>
      <c r="B746" s="8" t="s">
        <v>2558</v>
      </c>
      <c r="C746" s="7" t="s">
        <v>864</v>
      </c>
      <c r="D746" s="6" t="s">
        <v>1000</v>
      </c>
      <c r="E746" s="6" t="s">
        <v>465</v>
      </c>
      <c r="F746" s="6" t="s">
        <v>456</v>
      </c>
      <c r="G746" s="6" t="s">
        <v>452</v>
      </c>
    </row>
    <row r="747" spans="1:7" ht="28" customHeight="1">
      <c r="A747" s="8">
        <v>630</v>
      </c>
      <c r="B747" s="8" t="s">
        <v>2558</v>
      </c>
      <c r="C747" s="9" t="s">
        <v>864</v>
      </c>
      <c r="D747" s="8" t="s">
        <v>1001</v>
      </c>
      <c r="E747" s="8" t="s">
        <v>465</v>
      </c>
      <c r="F747" s="8" t="s">
        <v>456</v>
      </c>
      <c r="G747" s="8" t="s">
        <v>452</v>
      </c>
    </row>
    <row r="748" spans="1:7" ht="28" customHeight="1">
      <c r="A748" s="6">
        <v>631</v>
      </c>
      <c r="B748" s="8" t="s">
        <v>2558</v>
      </c>
      <c r="C748" s="7" t="s">
        <v>864</v>
      </c>
      <c r="D748" s="6" t="s">
        <v>398</v>
      </c>
      <c r="E748" s="6" t="s">
        <v>454</v>
      </c>
      <c r="F748" s="6" t="s">
        <v>455</v>
      </c>
      <c r="G748" s="6" t="s">
        <v>542</v>
      </c>
    </row>
    <row r="749" spans="1:7" ht="28" customHeight="1">
      <c r="A749" s="8">
        <v>632</v>
      </c>
      <c r="B749" s="8" t="s">
        <v>2558</v>
      </c>
      <c r="C749" s="9" t="s">
        <v>864</v>
      </c>
      <c r="D749" s="8" t="s">
        <v>1002</v>
      </c>
      <c r="E749" s="8" t="s">
        <v>460</v>
      </c>
      <c r="F749" s="8" t="s">
        <v>486</v>
      </c>
      <c r="G749" s="8" t="s">
        <v>542</v>
      </c>
    </row>
    <row r="750" spans="1:7" ht="28" customHeight="1">
      <c r="A750" s="6">
        <v>633</v>
      </c>
      <c r="B750" s="8" t="s">
        <v>2558</v>
      </c>
      <c r="C750" s="7" t="s">
        <v>864</v>
      </c>
      <c r="D750" s="6" t="s">
        <v>1003</v>
      </c>
      <c r="E750" s="6" t="s">
        <v>465</v>
      </c>
      <c r="F750" s="6" t="s">
        <v>561</v>
      </c>
      <c r="G750" s="6" t="s">
        <v>452</v>
      </c>
    </row>
    <row r="751" spans="1:7" ht="28" customHeight="1">
      <c r="A751" s="8">
        <v>634</v>
      </c>
      <c r="B751" s="8" t="s">
        <v>2558</v>
      </c>
      <c r="C751" s="9" t="s">
        <v>864</v>
      </c>
      <c r="D751" s="8" t="s">
        <v>1004</v>
      </c>
      <c r="E751" s="8" t="s">
        <v>465</v>
      </c>
      <c r="F751" s="8" t="s">
        <v>561</v>
      </c>
      <c r="G751" s="8" t="s">
        <v>452</v>
      </c>
    </row>
    <row r="752" spans="1:7" ht="28" customHeight="1">
      <c r="A752" s="6">
        <v>635</v>
      </c>
      <c r="B752" s="8" t="s">
        <v>2558</v>
      </c>
      <c r="C752" s="7" t="s">
        <v>864</v>
      </c>
      <c r="D752" s="6" t="s">
        <v>1005</v>
      </c>
      <c r="E752" s="6" t="s">
        <v>465</v>
      </c>
      <c r="F752" s="6" t="s">
        <v>561</v>
      </c>
      <c r="G752" s="6" t="s">
        <v>452</v>
      </c>
    </row>
    <row r="753" spans="1:7" ht="28" customHeight="1">
      <c r="A753" s="8">
        <v>636</v>
      </c>
      <c r="B753" s="8" t="s">
        <v>2558</v>
      </c>
      <c r="C753" s="9" t="s">
        <v>864</v>
      </c>
      <c r="D753" s="8" t="s">
        <v>1006</v>
      </c>
      <c r="E753" s="8" t="s">
        <v>460</v>
      </c>
      <c r="F753" s="8" t="s">
        <v>454</v>
      </c>
      <c r="G753" s="8" t="s">
        <v>452</v>
      </c>
    </row>
    <row r="754" spans="1:7" ht="28" customHeight="1">
      <c r="A754" s="6">
        <v>637</v>
      </c>
      <c r="B754" s="8" t="s">
        <v>2558</v>
      </c>
      <c r="C754" s="7" t="s">
        <v>864</v>
      </c>
      <c r="D754" s="6" t="s">
        <v>1007</v>
      </c>
      <c r="E754" s="6" t="s">
        <v>460</v>
      </c>
      <c r="F754" s="6" t="s">
        <v>454</v>
      </c>
      <c r="G754" s="6" t="s">
        <v>452</v>
      </c>
    </row>
    <row r="755" spans="1:7" ht="28" customHeight="1">
      <c r="A755" s="8">
        <v>638</v>
      </c>
      <c r="B755" s="8" t="s">
        <v>2558</v>
      </c>
      <c r="C755" s="9" t="s">
        <v>864</v>
      </c>
      <c r="D755" s="8" t="s">
        <v>1008</v>
      </c>
      <c r="E755" s="8" t="s">
        <v>486</v>
      </c>
      <c r="F755" s="8" t="s">
        <v>515</v>
      </c>
      <c r="G755" s="8" t="s">
        <v>542</v>
      </c>
    </row>
    <row r="756" spans="1:7" ht="28" customHeight="1">
      <c r="A756" s="6">
        <v>639</v>
      </c>
      <c r="B756" s="8" t="s">
        <v>2558</v>
      </c>
      <c r="C756" s="7" t="s">
        <v>864</v>
      </c>
      <c r="D756" s="6" t="s">
        <v>1009</v>
      </c>
      <c r="E756" s="6" t="s">
        <v>519</v>
      </c>
      <c r="F756" s="6" t="s">
        <v>515</v>
      </c>
      <c r="G756" s="6" t="s">
        <v>542</v>
      </c>
    </row>
    <row r="757" spans="1:7" ht="28" customHeight="1">
      <c r="A757" s="8">
        <v>640</v>
      </c>
      <c r="B757" s="8" t="s">
        <v>2558</v>
      </c>
      <c r="C757" s="9" t="s">
        <v>864</v>
      </c>
      <c r="D757" s="8" t="s">
        <v>1010</v>
      </c>
      <c r="E757" s="8" t="s">
        <v>450</v>
      </c>
      <c r="F757" s="8" t="s">
        <v>515</v>
      </c>
      <c r="G757" s="8" t="s">
        <v>542</v>
      </c>
    </row>
    <row r="758" spans="1:7" ht="28" customHeight="1">
      <c r="A758" s="6">
        <v>641</v>
      </c>
      <c r="B758" s="8" t="s">
        <v>2558</v>
      </c>
      <c r="C758" s="7" t="s">
        <v>864</v>
      </c>
      <c r="D758" s="6" t="s">
        <v>1011</v>
      </c>
      <c r="E758" s="6" t="s">
        <v>456</v>
      </c>
      <c r="F758" s="6" t="s">
        <v>455</v>
      </c>
      <c r="G758" s="6" t="s">
        <v>542</v>
      </c>
    </row>
    <row r="759" spans="1:7" ht="28" customHeight="1">
      <c r="A759" s="6">
        <v>641</v>
      </c>
      <c r="B759" s="8" t="s">
        <v>2558</v>
      </c>
      <c r="C759" s="7" t="s">
        <v>864</v>
      </c>
      <c r="D759" s="6" t="s">
        <v>1012</v>
      </c>
      <c r="E759" s="6" t="s">
        <v>456</v>
      </c>
      <c r="F759" s="6" t="s">
        <v>455</v>
      </c>
      <c r="G759" s="6" t="s">
        <v>542</v>
      </c>
    </row>
    <row r="760" spans="1:7" ht="28" customHeight="1">
      <c r="A760" s="8">
        <v>642</v>
      </c>
      <c r="B760" s="8" t="s">
        <v>2558</v>
      </c>
      <c r="C760" s="9" t="s">
        <v>864</v>
      </c>
      <c r="D760" s="8" t="s">
        <v>1013</v>
      </c>
      <c r="E760" s="8" t="s">
        <v>471</v>
      </c>
      <c r="F760" s="8" t="s">
        <v>456</v>
      </c>
      <c r="G760" s="8" t="s">
        <v>542</v>
      </c>
    </row>
    <row r="761" spans="1:7" ht="28" customHeight="1">
      <c r="A761" s="8">
        <v>642</v>
      </c>
      <c r="B761" s="8" t="s">
        <v>2558</v>
      </c>
      <c r="C761" s="9" t="s">
        <v>864</v>
      </c>
      <c r="D761" s="8" t="s">
        <v>1014</v>
      </c>
      <c r="E761" s="8" t="s">
        <v>471</v>
      </c>
      <c r="F761" s="8" t="s">
        <v>456</v>
      </c>
      <c r="G761" s="8" t="s">
        <v>542</v>
      </c>
    </row>
    <row r="762" spans="1:7" ht="28" customHeight="1">
      <c r="A762" s="6">
        <v>643</v>
      </c>
      <c r="B762" s="8" t="s">
        <v>2558</v>
      </c>
      <c r="C762" s="7" t="s">
        <v>864</v>
      </c>
      <c r="D762" s="6" t="s">
        <v>1015</v>
      </c>
      <c r="E762" s="6" t="s">
        <v>561</v>
      </c>
      <c r="F762" s="6" t="s">
        <v>454</v>
      </c>
      <c r="G762" s="6" t="s">
        <v>542</v>
      </c>
    </row>
    <row r="763" spans="1:7" ht="28" customHeight="1">
      <c r="A763" s="8">
        <v>644</v>
      </c>
      <c r="B763" s="8" t="s">
        <v>2558</v>
      </c>
      <c r="C763" s="9" t="s">
        <v>864</v>
      </c>
      <c r="D763" s="8" t="s">
        <v>1016</v>
      </c>
      <c r="E763" s="8" t="s">
        <v>561</v>
      </c>
      <c r="F763" s="8" t="s">
        <v>471</v>
      </c>
      <c r="G763" s="8" t="s">
        <v>542</v>
      </c>
    </row>
    <row r="764" spans="1:7" ht="28" customHeight="1">
      <c r="A764" s="6">
        <v>645</v>
      </c>
      <c r="B764" s="8" t="s">
        <v>2558</v>
      </c>
      <c r="C764" s="7" t="s">
        <v>864</v>
      </c>
      <c r="D764" s="6" t="s">
        <v>1017</v>
      </c>
      <c r="E764" s="6" t="s">
        <v>483</v>
      </c>
      <c r="F764" s="6" t="s">
        <v>456</v>
      </c>
      <c r="G764" s="6" t="s">
        <v>542</v>
      </c>
    </row>
    <row r="765" spans="1:7" ht="28" customHeight="1">
      <c r="A765" s="6">
        <v>645</v>
      </c>
      <c r="B765" s="8" t="s">
        <v>2558</v>
      </c>
      <c r="C765" s="7" t="s">
        <v>864</v>
      </c>
      <c r="D765" s="6" t="s">
        <v>1018</v>
      </c>
      <c r="E765" s="6" t="s">
        <v>483</v>
      </c>
      <c r="F765" s="6" t="s">
        <v>456</v>
      </c>
      <c r="G765" s="6" t="s">
        <v>542</v>
      </c>
    </row>
    <row r="766" spans="1:7" ht="28" customHeight="1">
      <c r="A766" s="8">
        <v>646</v>
      </c>
      <c r="B766" s="8" t="s">
        <v>2558</v>
      </c>
      <c r="C766" s="9" t="s">
        <v>864</v>
      </c>
      <c r="D766" s="8" t="s">
        <v>1019</v>
      </c>
      <c r="E766" s="8" t="s">
        <v>561</v>
      </c>
      <c r="F766" s="8" t="s">
        <v>485</v>
      </c>
      <c r="G766" s="8" t="s">
        <v>542</v>
      </c>
    </row>
    <row r="767" spans="1:7" ht="28" customHeight="1">
      <c r="A767" s="6">
        <v>647</v>
      </c>
      <c r="B767" s="8" t="s">
        <v>2558</v>
      </c>
      <c r="C767" s="7" t="s">
        <v>864</v>
      </c>
      <c r="D767" s="6" t="s">
        <v>1020</v>
      </c>
      <c r="E767" s="6" t="s">
        <v>457</v>
      </c>
      <c r="F767" s="6" t="s">
        <v>515</v>
      </c>
      <c r="G767" s="6" t="s">
        <v>542</v>
      </c>
    </row>
    <row r="768" spans="1:7" ht="28" customHeight="1">
      <c r="A768" s="6">
        <v>647</v>
      </c>
      <c r="B768" s="8" t="s">
        <v>2558</v>
      </c>
      <c r="C768" s="7" t="s">
        <v>864</v>
      </c>
      <c r="D768" s="6" t="s">
        <v>1021</v>
      </c>
      <c r="E768" s="6" t="s">
        <v>457</v>
      </c>
      <c r="F768" s="6" t="s">
        <v>515</v>
      </c>
      <c r="G768" s="6" t="s">
        <v>542</v>
      </c>
    </row>
    <row r="769" spans="1:7" ht="28" customHeight="1">
      <c r="A769" s="8">
        <v>648</v>
      </c>
      <c r="B769" s="8" t="s">
        <v>2558</v>
      </c>
      <c r="C769" s="9" t="s">
        <v>864</v>
      </c>
      <c r="D769" s="8" t="s">
        <v>1022</v>
      </c>
      <c r="E769" s="8" t="s">
        <v>462</v>
      </c>
      <c r="F769" s="8" t="s">
        <v>481</v>
      </c>
      <c r="G769" s="8" t="s">
        <v>542</v>
      </c>
    </row>
    <row r="770" spans="1:7" ht="28" customHeight="1">
      <c r="A770" s="6">
        <v>649</v>
      </c>
      <c r="B770" s="8" t="s">
        <v>2558</v>
      </c>
      <c r="C770" s="7" t="s">
        <v>864</v>
      </c>
      <c r="D770" s="6" t="s">
        <v>1023</v>
      </c>
      <c r="E770" s="6" t="s">
        <v>460</v>
      </c>
      <c r="F770" s="6" t="s">
        <v>486</v>
      </c>
      <c r="G770" s="6" t="s">
        <v>542</v>
      </c>
    </row>
    <row r="771" spans="1:7" ht="28" customHeight="1">
      <c r="A771" s="8">
        <v>650</v>
      </c>
      <c r="B771" s="8" t="s">
        <v>1024</v>
      </c>
      <c r="C771" s="9" t="s">
        <v>1025</v>
      </c>
      <c r="D771" s="8" t="s">
        <v>1026</v>
      </c>
      <c r="E771" s="8" t="s">
        <v>450</v>
      </c>
      <c r="F771" s="8" t="s">
        <v>455</v>
      </c>
      <c r="G771" s="8" t="s">
        <v>452</v>
      </c>
    </row>
    <row r="772" spans="1:7" ht="28" customHeight="1">
      <c r="A772" s="6">
        <v>651</v>
      </c>
      <c r="B772" s="6" t="s">
        <v>1024</v>
      </c>
      <c r="C772" s="7" t="s">
        <v>1025</v>
      </c>
      <c r="D772" s="6" t="s">
        <v>1027</v>
      </c>
      <c r="E772" s="6" t="s">
        <v>450</v>
      </c>
      <c r="F772" s="6" t="s">
        <v>455</v>
      </c>
      <c r="G772" s="6" t="s">
        <v>452</v>
      </c>
    </row>
    <row r="773" spans="1:7" ht="28" customHeight="1">
      <c r="A773" s="8">
        <v>652</v>
      </c>
      <c r="B773" s="8" t="s">
        <v>1024</v>
      </c>
      <c r="C773" s="9" t="s">
        <v>1025</v>
      </c>
      <c r="D773" s="8" t="s">
        <v>1028</v>
      </c>
      <c r="E773" s="8" t="s">
        <v>450</v>
      </c>
      <c r="F773" s="8" t="s">
        <v>515</v>
      </c>
      <c r="G773" s="8" t="s">
        <v>452</v>
      </c>
    </row>
    <row r="774" spans="1:7" ht="28" customHeight="1">
      <c r="A774" s="6">
        <v>653</v>
      </c>
      <c r="B774" s="6" t="s">
        <v>1024</v>
      </c>
      <c r="C774" s="7" t="s">
        <v>1025</v>
      </c>
      <c r="D774" s="6" t="s">
        <v>1029</v>
      </c>
      <c r="E774" s="6" t="s">
        <v>454</v>
      </c>
      <c r="F774" s="6" t="s">
        <v>455</v>
      </c>
      <c r="G774" s="6" t="s">
        <v>452</v>
      </c>
    </row>
    <row r="775" spans="1:7" ht="28" customHeight="1">
      <c r="A775" s="8">
        <v>654</v>
      </c>
      <c r="B775" s="8" t="s">
        <v>1024</v>
      </c>
      <c r="C775" s="9" t="s">
        <v>1025</v>
      </c>
      <c r="D775" s="8" t="s">
        <v>1030</v>
      </c>
      <c r="E775" s="8" t="s">
        <v>454</v>
      </c>
      <c r="F775" s="8" t="s">
        <v>455</v>
      </c>
      <c r="G775" s="8" t="s">
        <v>452</v>
      </c>
    </row>
    <row r="776" spans="1:7" ht="28" customHeight="1">
      <c r="A776" s="6">
        <v>655</v>
      </c>
      <c r="B776" s="6" t="s">
        <v>1024</v>
      </c>
      <c r="C776" s="7" t="s">
        <v>1025</v>
      </c>
      <c r="D776" s="6" t="s">
        <v>1031</v>
      </c>
      <c r="E776" s="6" t="s">
        <v>454</v>
      </c>
      <c r="F776" s="6" t="s">
        <v>481</v>
      </c>
      <c r="G776" s="6" t="s">
        <v>452</v>
      </c>
    </row>
    <row r="777" spans="1:7" ht="28" customHeight="1">
      <c r="A777" s="8">
        <v>656</v>
      </c>
      <c r="B777" s="8" t="s">
        <v>1024</v>
      </c>
      <c r="C777" s="9" t="s">
        <v>1025</v>
      </c>
      <c r="D777" s="8" t="s">
        <v>1032</v>
      </c>
      <c r="E777" s="8" t="s">
        <v>457</v>
      </c>
      <c r="F777" s="8" t="s">
        <v>455</v>
      </c>
      <c r="G777" s="8" t="s">
        <v>452</v>
      </c>
    </row>
    <row r="778" spans="1:7" ht="28" customHeight="1">
      <c r="A778" s="6">
        <v>657</v>
      </c>
      <c r="B778" s="6" t="s">
        <v>1024</v>
      </c>
      <c r="C778" s="7" t="s">
        <v>1025</v>
      </c>
      <c r="D778" s="6" t="s">
        <v>1033</v>
      </c>
      <c r="E778" s="6" t="s">
        <v>457</v>
      </c>
      <c r="F778" s="6" t="s">
        <v>455</v>
      </c>
      <c r="G778" s="6" t="s">
        <v>452</v>
      </c>
    </row>
    <row r="779" spans="1:7" ht="28" customHeight="1">
      <c r="A779" s="8">
        <v>658</v>
      </c>
      <c r="B779" s="8" t="s">
        <v>1024</v>
      </c>
      <c r="C779" s="9" t="s">
        <v>1025</v>
      </c>
      <c r="D779" s="8" t="s">
        <v>1034</v>
      </c>
      <c r="E779" s="8" t="s">
        <v>457</v>
      </c>
      <c r="F779" s="8" t="s">
        <v>465</v>
      </c>
      <c r="G779" s="8" t="s">
        <v>452</v>
      </c>
    </row>
    <row r="780" spans="1:7" ht="28" customHeight="1">
      <c r="A780" s="8">
        <v>658</v>
      </c>
      <c r="B780" s="8" t="s">
        <v>1024</v>
      </c>
      <c r="C780" s="9" t="s">
        <v>1025</v>
      </c>
      <c r="D780" s="8" t="s">
        <v>1035</v>
      </c>
      <c r="E780" s="8" t="s">
        <v>457</v>
      </c>
      <c r="F780" s="8" t="s">
        <v>465</v>
      </c>
      <c r="G780" s="8" t="s">
        <v>452</v>
      </c>
    </row>
    <row r="781" spans="1:7" ht="28" customHeight="1">
      <c r="A781" s="6">
        <v>659</v>
      </c>
      <c r="B781" s="6" t="s">
        <v>1024</v>
      </c>
      <c r="C781" s="7" t="s">
        <v>1025</v>
      </c>
      <c r="D781" s="6" t="s">
        <v>1036</v>
      </c>
      <c r="E781" s="6" t="s">
        <v>462</v>
      </c>
      <c r="F781" s="6" t="s">
        <v>455</v>
      </c>
      <c r="G781" s="6" t="s">
        <v>452</v>
      </c>
    </row>
    <row r="782" spans="1:7" ht="28" customHeight="1">
      <c r="A782" s="8">
        <v>660</v>
      </c>
      <c r="B782" s="8" t="s">
        <v>1024</v>
      </c>
      <c r="C782" s="9" t="s">
        <v>1025</v>
      </c>
      <c r="D782" s="8" t="s">
        <v>1037</v>
      </c>
      <c r="E782" s="8" t="s">
        <v>462</v>
      </c>
      <c r="F782" s="8" t="s">
        <v>483</v>
      </c>
      <c r="G782" s="8" t="s">
        <v>452</v>
      </c>
    </row>
    <row r="783" spans="1:7" ht="28" customHeight="1">
      <c r="A783" s="6">
        <v>661</v>
      </c>
      <c r="B783" s="6" t="s">
        <v>1024</v>
      </c>
      <c r="C783" s="7" t="s">
        <v>1025</v>
      </c>
      <c r="D783" s="6" t="s">
        <v>400</v>
      </c>
      <c r="E783" s="6" t="s">
        <v>462</v>
      </c>
      <c r="F783" s="6" t="s">
        <v>456</v>
      </c>
      <c r="G783" s="6" t="s">
        <v>452</v>
      </c>
    </row>
    <row r="784" spans="1:7" ht="28" customHeight="1">
      <c r="A784" s="8">
        <v>662</v>
      </c>
      <c r="B784" s="8" t="s">
        <v>1024</v>
      </c>
      <c r="C784" s="9" t="s">
        <v>1025</v>
      </c>
      <c r="D784" s="8" t="s">
        <v>401</v>
      </c>
      <c r="E784" s="8" t="s">
        <v>454</v>
      </c>
      <c r="F784" s="8" t="s">
        <v>456</v>
      </c>
      <c r="G784" s="8" t="s">
        <v>452</v>
      </c>
    </row>
    <row r="785" spans="1:7" ht="28" customHeight="1">
      <c r="A785" s="6">
        <v>663</v>
      </c>
      <c r="B785" s="6" t="s">
        <v>1024</v>
      </c>
      <c r="C785" s="7" t="s">
        <v>1025</v>
      </c>
      <c r="D785" s="6" t="s">
        <v>402</v>
      </c>
      <c r="E785" s="6" t="s">
        <v>454</v>
      </c>
      <c r="F785" s="6" t="s">
        <v>456</v>
      </c>
      <c r="G785" s="6" t="s">
        <v>452</v>
      </c>
    </row>
    <row r="786" spans="1:7" ht="28" customHeight="1">
      <c r="A786" s="8">
        <v>664</v>
      </c>
      <c r="B786" s="8" t="s">
        <v>1024</v>
      </c>
      <c r="C786" s="9" t="s">
        <v>1025</v>
      </c>
      <c r="D786" s="8" t="s">
        <v>1038</v>
      </c>
      <c r="E786" s="8" t="s">
        <v>460</v>
      </c>
      <c r="F786" s="8" t="s">
        <v>455</v>
      </c>
      <c r="G786" s="8" t="s">
        <v>452</v>
      </c>
    </row>
    <row r="787" spans="1:7" ht="28" customHeight="1">
      <c r="A787" s="6">
        <v>665</v>
      </c>
      <c r="B787" s="6" t="s">
        <v>1024</v>
      </c>
      <c r="C787" s="7" t="s">
        <v>1025</v>
      </c>
      <c r="D787" s="6" t="s">
        <v>1039</v>
      </c>
      <c r="E787" s="6" t="s">
        <v>460</v>
      </c>
      <c r="F787" s="6" t="s">
        <v>455</v>
      </c>
      <c r="G787" s="6" t="s">
        <v>452</v>
      </c>
    </row>
    <row r="788" spans="1:7" ht="28" customHeight="1">
      <c r="A788" s="8">
        <v>666</v>
      </c>
      <c r="B788" s="8" t="s">
        <v>1024</v>
      </c>
      <c r="C788" s="9" t="s">
        <v>1025</v>
      </c>
      <c r="D788" s="8" t="s">
        <v>1040</v>
      </c>
      <c r="E788" s="8" t="s">
        <v>460</v>
      </c>
      <c r="F788" s="8" t="s">
        <v>456</v>
      </c>
      <c r="G788" s="8" t="s">
        <v>452</v>
      </c>
    </row>
    <row r="789" spans="1:7" ht="28" customHeight="1">
      <c r="A789" s="8">
        <v>666</v>
      </c>
      <c r="B789" s="8" t="s">
        <v>1024</v>
      </c>
      <c r="C789" s="9" t="s">
        <v>1025</v>
      </c>
      <c r="D789" s="8" t="s">
        <v>1041</v>
      </c>
      <c r="E789" s="8" t="s">
        <v>460</v>
      </c>
      <c r="F789" s="8" t="s">
        <v>456</v>
      </c>
      <c r="G789" s="8" t="s">
        <v>452</v>
      </c>
    </row>
    <row r="790" spans="1:7" ht="28" customHeight="1">
      <c r="A790" s="8">
        <v>666</v>
      </c>
      <c r="B790" s="8" t="s">
        <v>1024</v>
      </c>
      <c r="C790" s="9" t="s">
        <v>1025</v>
      </c>
      <c r="D790" s="8" t="s">
        <v>1042</v>
      </c>
      <c r="E790" s="8" t="s">
        <v>460</v>
      </c>
      <c r="F790" s="8" t="s">
        <v>456</v>
      </c>
      <c r="G790" s="8" t="s">
        <v>452</v>
      </c>
    </row>
    <row r="791" spans="1:7" ht="28" customHeight="1">
      <c r="A791" s="8">
        <v>666</v>
      </c>
      <c r="B791" s="8" t="s">
        <v>1024</v>
      </c>
      <c r="C791" s="9" t="s">
        <v>1025</v>
      </c>
      <c r="D791" s="8" t="s">
        <v>1043</v>
      </c>
      <c r="E791" s="8" t="s">
        <v>460</v>
      </c>
      <c r="F791" s="8" t="s">
        <v>456</v>
      </c>
      <c r="G791" s="8" t="s">
        <v>452</v>
      </c>
    </row>
    <row r="792" spans="1:7" ht="28" customHeight="1">
      <c r="A792" s="8">
        <v>666</v>
      </c>
      <c r="B792" s="8" t="s">
        <v>1024</v>
      </c>
      <c r="C792" s="9" t="s">
        <v>1025</v>
      </c>
      <c r="D792" s="8" t="s">
        <v>1044</v>
      </c>
      <c r="E792" s="8" t="s">
        <v>460</v>
      </c>
      <c r="F792" s="8" t="s">
        <v>456</v>
      </c>
      <c r="G792" s="8" t="s">
        <v>452</v>
      </c>
    </row>
    <row r="793" spans="1:7" ht="28" customHeight="1">
      <c r="A793" s="8">
        <v>666</v>
      </c>
      <c r="B793" s="8" t="s">
        <v>1024</v>
      </c>
      <c r="C793" s="9" t="s">
        <v>1025</v>
      </c>
      <c r="D793" s="8" t="s">
        <v>1045</v>
      </c>
      <c r="E793" s="8" t="s">
        <v>460</v>
      </c>
      <c r="F793" s="8" t="s">
        <v>456</v>
      </c>
      <c r="G793" s="8" t="s">
        <v>452</v>
      </c>
    </row>
    <row r="794" spans="1:7" ht="28" customHeight="1">
      <c r="A794" s="8">
        <v>666</v>
      </c>
      <c r="B794" s="8" t="s">
        <v>1024</v>
      </c>
      <c r="C794" s="9" t="s">
        <v>1025</v>
      </c>
      <c r="D794" s="8" t="s">
        <v>1046</v>
      </c>
      <c r="E794" s="8" t="s">
        <v>460</v>
      </c>
      <c r="F794" s="8" t="s">
        <v>456</v>
      </c>
      <c r="G794" s="8" t="s">
        <v>452</v>
      </c>
    </row>
    <row r="795" spans="1:7" ht="28" customHeight="1">
      <c r="A795" s="8">
        <v>666</v>
      </c>
      <c r="B795" s="8" t="s">
        <v>1024</v>
      </c>
      <c r="C795" s="9" t="s">
        <v>1025</v>
      </c>
      <c r="D795" s="8" t="s">
        <v>1047</v>
      </c>
      <c r="E795" s="8" t="s">
        <v>460</v>
      </c>
      <c r="F795" s="8" t="s">
        <v>456</v>
      </c>
      <c r="G795" s="8" t="s">
        <v>452</v>
      </c>
    </row>
    <row r="796" spans="1:7" ht="28" customHeight="1">
      <c r="A796" s="8">
        <v>666</v>
      </c>
      <c r="B796" s="8" t="s">
        <v>1024</v>
      </c>
      <c r="C796" s="9" t="s">
        <v>1025</v>
      </c>
      <c r="D796" s="8" t="s">
        <v>1048</v>
      </c>
      <c r="E796" s="8" t="s">
        <v>460</v>
      </c>
      <c r="F796" s="8" t="s">
        <v>456</v>
      </c>
      <c r="G796" s="8" t="s">
        <v>452</v>
      </c>
    </row>
    <row r="797" spans="1:7" ht="28" customHeight="1">
      <c r="A797" s="8">
        <v>666</v>
      </c>
      <c r="B797" s="8" t="s">
        <v>1024</v>
      </c>
      <c r="C797" s="9" t="s">
        <v>1025</v>
      </c>
      <c r="D797" s="8" t="s">
        <v>1049</v>
      </c>
      <c r="E797" s="8" t="s">
        <v>460</v>
      </c>
      <c r="F797" s="8" t="s">
        <v>456</v>
      </c>
      <c r="G797" s="8" t="s">
        <v>452</v>
      </c>
    </row>
    <row r="798" spans="1:7" ht="28" customHeight="1">
      <c r="A798" s="8">
        <v>666</v>
      </c>
      <c r="B798" s="8" t="s">
        <v>1024</v>
      </c>
      <c r="C798" s="9" t="s">
        <v>1025</v>
      </c>
      <c r="D798" s="8" t="s">
        <v>1050</v>
      </c>
      <c r="E798" s="8" t="s">
        <v>460</v>
      </c>
      <c r="F798" s="8" t="s">
        <v>456</v>
      </c>
      <c r="G798" s="8" t="s">
        <v>452</v>
      </c>
    </row>
    <row r="799" spans="1:7" ht="28" customHeight="1">
      <c r="A799" s="8">
        <v>666</v>
      </c>
      <c r="B799" s="8" t="s">
        <v>1024</v>
      </c>
      <c r="C799" s="9" t="s">
        <v>1025</v>
      </c>
      <c r="D799" s="8" t="s">
        <v>1051</v>
      </c>
      <c r="E799" s="8" t="s">
        <v>460</v>
      </c>
      <c r="F799" s="8" t="s">
        <v>456</v>
      </c>
      <c r="G799" s="8" t="s">
        <v>452</v>
      </c>
    </row>
    <row r="800" spans="1:7" ht="28" customHeight="1">
      <c r="A800" s="8">
        <v>666</v>
      </c>
      <c r="B800" s="8" t="s">
        <v>1024</v>
      </c>
      <c r="C800" s="9" t="s">
        <v>1025</v>
      </c>
      <c r="D800" s="8" t="s">
        <v>1052</v>
      </c>
      <c r="E800" s="8" t="s">
        <v>460</v>
      </c>
      <c r="F800" s="8" t="s">
        <v>456</v>
      </c>
      <c r="G800" s="8" t="s">
        <v>452</v>
      </c>
    </row>
    <row r="801" spans="1:7" ht="28" customHeight="1">
      <c r="A801" s="8">
        <v>666</v>
      </c>
      <c r="B801" s="8" t="s">
        <v>1024</v>
      </c>
      <c r="C801" s="9" t="s">
        <v>1025</v>
      </c>
      <c r="D801" s="8" t="s">
        <v>1053</v>
      </c>
      <c r="E801" s="8" t="s">
        <v>460</v>
      </c>
      <c r="F801" s="8" t="s">
        <v>456</v>
      </c>
      <c r="G801" s="8" t="s">
        <v>452</v>
      </c>
    </row>
    <row r="802" spans="1:7" ht="28" customHeight="1">
      <c r="A802" s="8">
        <v>666</v>
      </c>
      <c r="B802" s="8" t="s">
        <v>1024</v>
      </c>
      <c r="C802" s="9" t="s">
        <v>1025</v>
      </c>
      <c r="D802" s="8" t="s">
        <v>1054</v>
      </c>
      <c r="E802" s="8" t="s">
        <v>460</v>
      </c>
      <c r="F802" s="8" t="s">
        <v>456</v>
      </c>
      <c r="G802" s="8" t="s">
        <v>452</v>
      </c>
    </row>
    <row r="803" spans="1:7" ht="28" customHeight="1">
      <c r="A803" s="8">
        <v>666</v>
      </c>
      <c r="B803" s="8" t="s">
        <v>1024</v>
      </c>
      <c r="C803" s="9" t="s">
        <v>1025</v>
      </c>
      <c r="D803" s="8" t="s">
        <v>1055</v>
      </c>
      <c r="E803" s="8" t="s">
        <v>460</v>
      </c>
      <c r="F803" s="8" t="s">
        <v>456</v>
      </c>
      <c r="G803" s="8" t="s">
        <v>452</v>
      </c>
    </row>
    <row r="804" spans="1:7" ht="28" customHeight="1">
      <c r="A804" s="8">
        <v>666</v>
      </c>
      <c r="B804" s="8" t="s">
        <v>1024</v>
      </c>
      <c r="C804" s="9" t="s">
        <v>1025</v>
      </c>
      <c r="D804" s="8" t="s">
        <v>1056</v>
      </c>
      <c r="E804" s="8" t="s">
        <v>460</v>
      </c>
      <c r="F804" s="8" t="s">
        <v>456</v>
      </c>
      <c r="G804" s="8" t="s">
        <v>452</v>
      </c>
    </row>
    <row r="805" spans="1:7" ht="28" customHeight="1">
      <c r="A805" s="8">
        <v>666</v>
      </c>
      <c r="B805" s="8" t="s">
        <v>1024</v>
      </c>
      <c r="C805" s="9" t="s">
        <v>1025</v>
      </c>
      <c r="D805" s="8" t="s">
        <v>1057</v>
      </c>
      <c r="E805" s="8" t="s">
        <v>460</v>
      </c>
      <c r="F805" s="8" t="s">
        <v>456</v>
      </c>
      <c r="G805" s="8" t="s">
        <v>452</v>
      </c>
    </row>
    <row r="806" spans="1:7" ht="28" customHeight="1">
      <c r="A806" s="8">
        <v>666</v>
      </c>
      <c r="B806" s="8" t="s">
        <v>1024</v>
      </c>
      <c r="C806" s="9" t="s">
        <v>1025</v>
      </c>
      <c r="D806" s="8" t="s">
        <v>1058</v>
      </c>
      <c r="E806" s="8" t="s">
        <v>460</v>
      </c>
      <c r="F806" s="8" t="s">
        <v>456</v>
      </c>
      <c r="G806" s="8" t="s">
        <v>452</v>
      </c>
    </row>
    <row r="807" spans="1:7" ht="28" customHeight="1">
      <c r="A807" s="8">
        <v>666</v>
      </c>
      <c r="B807" s="8" t="s">
        <v>1024</v>
      </c>
      <c r="C807" s="9" t="s">
        <v>1025</v>
      </c>
      <c r="D807" s="8" t="s">
        <v>1059</v>
      </c>
      <c r="E807" s="8" t="s">
        <v>460</v>
      </c>
      <c r="F807" s="8" t="s">
        <v>456</v>
      </c>
      <c r="G807" s="8" t="s">
        <v>452</v>
      </c>
    </row>
    <row r="808" spans="1:7" ht="28" customHeight="1">
      <c r="A808" s="6">
        <v>667</v>
      </c>
      <c r="B808" s="6" t="s">
        <v>1024</v>
      </c>
      <c r="C808" s="7" t="s">
        <v>1025</v>
      </c>
      <c r="D808" s="6" t="s">
        <v>1060</v>
      </c>
      <c r="E808" s="6" t="s">
        <v>454</v>
      </c>
      <c r="F808" s="6" t="s">
        <v>462</v>
      </c>
      <c r="G808" s="6" t="s">
        <v>452</v>
      </c>
    </row>
    <row r="809" spans="1:7" ht="28" customHeight="1">
      <c r="A809" s="8">
        <v>668</v>
      </c>
      <c r="B809" s="8" t="s">
        <v>1024</v>
      </c>
      <c r="C809" s="9" t="s">
        <v>1025</v>
      </c>
      <c r="D809" s="8" t="s">
        <v>2294</v>
      </c>
      <c r="E809" s="8" t="s">
        <v>454</v>
      </c>
      <c r="F809" s="8" t="s">
        <v>462</v>
      </c>
      <c r="G809" s="8" t="s">
        <v>452</v>
      </c>
    </row>
    <row r="810" spans="1:7" ht="28" customHeight="1">
      <c r="A810" s="6">
        <v>669</v>
      </c>
      <c r="B810" s="6" t="s">
        <v>1024</v>
      </c>
      <c r="C810" s="7" t="s">
        <v>1025</v>
      </c>
      <c r="D810" s="6" t="s">
        <v>1061</v>
      </c>
      <c r="E810" s="6" t="s">
        <v>494</v>
      </c>
      <c r="F810" s="6" t="s">
        <v>455</v>
      </c>
      <c r="G810" s="6" t="s">
        <v>452</v>
      </c>
    </row>
    <row r="811" spans="1:7" ht="28" customHeight="1">
      <c r="A811" s="6">
        <v>669</v>
      </c>
      <c r="B811" s="6" t="s">
        <v>1024</v>
      </c>
      <c r="C811" s="7" t="s">
        <v>1025</v>
      </c>
      <c r="D811" s="6" t="s">
        <v>1062</v>
      </c>
      <c r="E811" s="6" t="s">
        <v>494</v>
      </c>
      <c r="F811" s="6" t="s">
        <v>455</v>
      </c>
      <c r="G811" s="6" t="s">
        <v>452</v>
      </c>
    </row>
    <row r="812" spans="1:7" ht="28" customHeight="1">
      <c r="A812" s="6">
        <v>669</v>
      </c>
      <c r="B812" s="6" t="s">
        <v>1024</v>
      </c>
      <c r="C812" s="7" t="s">
        <v>1025</v>
      </c>
      <c r="D812" s="6" t="s">
        <v>1063</v>
      </c>
      <c r="E812" s="6" t="s">
        <v>494</v>
      </c>
      <c r="F812" s="6" t="s">
        <v>455</v>
      </c>
      <c r="G812" s="6" t="s">
        <v>452</v>
      </c>
    </row>
    <row r="813" spans="1:7" ht="28" customHeight="1">
      <c r="A813" s="6">
        <v>669</v>
      </c>
      <c r="B813" s="6" t="s">
        <v>1024</v>
      </c>
      <c r="C813" s="7" t="s">
        <v>1025</v>
      </c>
      <c r="D813" s="6" t="s">
        <v>1064</v>
      </c>
      <c r="E813" s="6" t="s">
        <v>494</v>
      </c>
      <c r="F813" s="6" t="s">
        <v>455</v>
      </c>
      <c r="G813" s="6" t="s">
        <v>452</v>
      </c>
    </row>
    <row r="814" spans="1:7" ht="28" customHeight="1">
      <c r="A814" s="6">
        <v>669</v>
      </c>
      <c r="B814" s="6" t="s">
        <v>1024</v>
      </c>
      <c r="C814" s="7" t="s">
        <v>1025</v>
      </c>
      <c r="D814" s="6" t="s">
        <v>1065</v>
      </c>
      <c r="E814" s="6" t="s">
        <v>494</v>
      </c>
      <c r="F814" s="6" t="s">
        <v>455</v>
      </c>
      <c r="G814" s="6" t="s">
        <v>452</v>
      </c>
    </row>
    <row r="815" spans="1:7" ht="28" customHeight="1">
      <c r="A815" s="8">
        <v>670</v>
      </c>
      <c r="B815" s="8" t="s">
        <v>1024</v>
      </c>
      <c r="C815" s="9" t="s">
        <v>1025</v>
      </c>
      <c r="D815" s="8" t="s">
        <v>1066</v>
      </c>
      <c r="E815" s="8" t="s">
        <v>494</v>
      </c>
      <c r="F815" s="8" t="s">
        <v>455</v>
      </c>
      <c r="G815" s="8" t="s">
        <v>452</v>
      </c>
    </row>
    <row r="816" spans="1:7" ht="28" customHeight="1">
      <c r="A816" s="8">
        <v>670</v>
      </c>
      <c r="B816" s="8" t="s">
        <v>1024</v>
      </c>
      <c r="C816" s="9" t="s">
        <v>1025</v>
      </c>
      <c r="D816" s="8" t="s">
        <v>1067</v>
      </c>
      <c r="E816" s="8" t="s">
        <v>494</v>
      </c>
      <c r="F816" s="8" t="s">
        <v>455</v>
      </c>
      <c r="G816" s="8" t="s">
        <v>452</v>
      </c>
    </row>
    <row r="817" spans="1:7" ht="28" customHeight="1">
      <c r="A817" s="8">
        <v>670</v>
      </c>
      <c r="B817" s="8" t="s">
        <v>1024</v>
      </c>
      <c r="C817" s="9" t="s">
        <v>1025</v>
      </c>
      <c r="D817" s="8" t="s">
        <v>1068</v>
      </c>
      <c r="E817" s="8" t="s">
        <v>494</v>
      </c>
      <c r="F817" s="8" t="s">
        <v>455</v>
      </c>
      <c r="G817" s="8" t="s">
        <v>452</v>
      </c>
    </row>
    <row r="818" spans="1:7" ht="28" customHeight="1">
      <c r="A818" s="8">
        <v>670</v>
      </c>
      <c r="B818" s="8" t="s">
        <v>1024</v>
      </c>
      <c r="C818" s="9" t="s">
        <v>1025</v>
      </c>
      <c r="D818" s="8" t="s">
        <v>1069</v>
      </c>
      <c r="E818" s="8" t="s">
        <v>494</v>
      </c>
      <c r="F818" s="8" t="s">
        <v>455</v>
      </c>
      <c r="G818" s="8" t="s">
        <v>452</v>
      </c>
    </row>
    <row r="819" spans="1:7" ht="28" customHeight="1">
      <c r="A819" s="8">
        <v>670</v>
      </c>
      <c r="B819" s="8" t="s">
        <v>1024</v>
      </c>
      <c r="C819" s="9" t="s">
        <v>1025</v>
      </c>
      <c r="D819" s="8" t="s">
        <v>1070</v>
      </c>
      <c r="E819" s="8" t="s">
        <v>494</v>
      </c>
      <c r="F819" s="8" t="s">
        <v>455</v>
      </c>
      <c r="G819" s="8" t="s">
        <v>452</v>
      </c>
    </row>
    <row r="820" spans="1:7" ht="28" customHeight="1">
      <c r="A820" s="8">
        <v>670</v>
      </c>
      <c r="B820" s="8" t="s">
        <v>1024</v>
      </c>
      <c r="C820" s="9" t="s">
        <v>1025</v>
      </c>
      <c r="D820" s="8" t="s">
        <v>1071</v>
      </c>
      <c r="E820" s="8" t="s">
        <v>494</v>
      </c>
      <c r="F820" s="8" t="s">
        <v>455</v>
      </c>
      <c r="G820" s="8" t="s">
        <v>452</v>
      </c>
    </row>
    <row r="821" spans="1:7" ht="28" customHeight="1">
      <c r="A821" s="6">
        <v>671</v>
      </c>
      <c r="B821" s="6" t="s">
        <v>1024</v>
      </c>
      <c r="C821" s="7" t="s">
        <v>1025</v>
      </c>
      <c r="D821" s="6" t="s">
        <v>1072</v>
      </c>
      <c r="E821" s="6" t="s">
        <v>494</v>
      </c>
      <c r="F821" s="6" t="s">
        <v>455</v>
      </c>
      <c r="G821" s="6" t="s">
        <v>452</v>
      </c>
    </row>
    <row r="822" spans="1:7" ht="28" customHeight="1">
      <c r="A822" s="6">
        <v>671</v>
      </c>
      <c r="B822" s="6" t="s">
        <v>1024</v>
      </c>
      <c r="C822" s="7" t="s">
        <v>1025</v>
      </c>
      <c r="D822" s="6" t="s">
        <v>1073</v>
      </c>
      <c r="E822" s="6" t="s">
        <v>494</v>
      </c>
      <c r="F822" s="6" t="s">
        <v>455</v>
      </c>
      <c r="G822" s="6" t="s">
        <v>452</v>
      </c>
    </row>
    <row r="823" spans="1:7" ht="28" customHeight="1">
      <c r="A823" s="6">
        <v>671</v>
      </c>
      <c r="B823" s="6" t="s">
        <v>1024</v>
      </c>
      <c r="C823" s="7" t="s">
        <v>1025</v>
      </c>
      <c r="D823" s="6" t="s">
        <v>1074</v>
      </c>
      <c r="E823" s="6" t="s">
        <v>494</v>
      </c>
      <c r="F823" s="6" t="s">
        <v>455</v>
      </c>
      <c r="G823" s="6" t="s">
        <v>452</v>
      </c>
    </row>
    <row r="824" spans="1:7" ht="28" customHeight="1">
      <c r="A824" s="6">
        <v>671</v>
      </c>
      <c r="B824" s="6" t="s">
        <v>1024</v>
      </c>
      <c r="C824" s="7" t="s">
        <v>1025</v>
      </c>
      <c r="D824" s="6" t="s">
        <v>1075</v>
      </c>
      <c r="E824" s="6" t="s">
        <v>494</v>
      </c>
      <c r="F824" s="6" t="s">
        <v>455</v>
      </c>
      <c r="G824" s="6" t="s">
        <v>452</v>
      </c>
    </row>
    <row r="825" spans="1:7" ht="28" customHeight="1">
      <c r="A825" s="6">
        <v>671</v>
      </c>
      <c r="B825" s="6" t="s">
        <v>1024</v>
      </c>
      <c r="C825" s="7" t="s">
        <v>1025</v>
      </c>
      <c r="D825" s="6" t="s">
        <v>1076</v>
      </c>
      <c r="E825" s="6" t="s">
        <v>494</v>
      </c>
      <c r="F825" s="6" t="s">
        <v>455</v>
      </c>
      <c r="G825" s="6" t="s">
        <v>452</v>
      </c>
    </row>
    <row r="826" spans="1:7" ht="28" customHeight="1">
      <c r="A826" s="8">
        <v>672</v>
      </c>
      <c r="B826" s="8" t="s">
        <v>1024</v>
      </c>
      <c r="C826" s="9" t="s">
        <v>1025</v>
      </c>
      <c r="D826" s="8" t="s">
        <v>1077</v>
      </c>
      <c r="E826" s="8" t="s">
        <v>450</v>
      </c>
      <c r="F826" s="8" t="s">
        <v>455</v>
      </c>
      <c r="G826" s="8" t="s">
        <v>452</v>
      </c>
    </row>
    <row r="827" spans="1:7" ht="28" customHeight="1">
      <c r="A827" s="6">
        <v>673</v>
      </c>
      <c r="B827" s="6" t="s">
        <v>1024</v>
      </c>
      <c r="C827" s="7" t="s">
        <v>1025</v>
      </c>
      <c r="D827" s="6" t="s">
        <v>403</v>
      </c>
      <c r="E827" s="6" t="s">
        <v>450</v>
      </c>
      <c r="F827" s="6" t="s">
        <v>455</v>
      </c>
      <c r="G827" s="6" t="s">
        <v>452</v>
      </c>
    </row>
    <row r="828" spans="1:7" ht="28" customHeight="1">
      <c r="A828" s="8">
        <v>674</v>
      </c>
      <c r="B828" s="8" t="s">
        <v>1024</v>
      </c>
      <c r="C828" s="9" t="s">
        <v>1025</v>
      </c>
      <c r="D828" s="8" t="s">
        <v>1078</v>
      </c>
      <c r="E828" s="8" t="s">
        <v>515</v>
      </c>
      <c r="F828" s="8" t="s">
        <v>455</v>
      </c>
      <c r="G828" s="8" t="s">
        <v>452</v>
      </c>
    </row>
    <row r="829" spans="1:7" ht="28" customHeight="1">
      <c r="A829" s="6">
        <v>675</v>
      </c>
      <c r="B829" s="6" t="s">
        <v>1024</v>
      </c>
      <c r="C829" s="7" t="s">
        <v>1025</v>
      </c>
      <c r="D829" s="6" t="s">
        <v>1079</v>
      </c>
      <c r="E829" s="6" t="s">
        <v>515</v>
      </c>
      <c r="F829" s="6" t="s">
        <v>465</v>
      </c>
      <c r="G829" s="6" t="s">
        <v>452</v>
      </c>
    </row>
    <row r="830" spans="1:7" ht="28" customHeight="1">
      <c r="A830" s="8">
        <v>676</v>
      </c>
      <c r="B830" s="8" t="s">
        <v>1024</v>
      </c>
      <c r="C830" s="9" t="s">
        <v>1025</v>
      </c>
      <c r="D830" s="8" t="s">
        <v>1080</v>
      </c>
      <c r="E830" s="8" t="s">
        <v>462</v>
      </c>
      <c r="F830" s="8" t="s">
        <v>455</v>
      </c>
      <c r="G830" s="8" t="s">
        <v>542</v>
      </c>
    </row>
    <row r="831" spans="1:7" ht="28" customHeight="1">
      <c r="A831" s="8">
        <v>676</v>
      </c>
      <c r="B831" s="8" t="s">
        <v>1024</v>
      </c>
      <c r="C831" s="9" t="s">
        <v>1025</v>
      </c>
      <c r="D831" s="8" t="s">
        <v>1081</v>
      </c>
      <c r="E831" s="8" t="s">
        <v>462</v>
      </c>
      <c r="F831" s="8" t="s">
        <v>455</v>
      </c>
      <c r="G831" s="8" t="s">
        <v>542</v>
      </c>
    </row>
    <row r="832" spans="1:7" ht="28" customHeight="1">
      <c r="A832" s="8">
        <v>676</v>
      </c>
      <c r="B832" s="8" t="s">
        <v>1024</v>
      </c>
      <c r="C832" s="9" t="s">
        <v>1025</v>
      </c>
      <c r="D832" s="8" t="s">
        <v>1082</v>
      </c>
      <c r="E832" s="8" t="s">
        <v>462</v>
      </c>
      <c r="F832" s="8" t="s">
        <v>455</v>
      </c>
      <c r="G832" s="8" t="s">
        <v>542</v>
      </c>
    </row>
    <row r="833" spans="1:7" ht="28" customHeight="1">
      <c r="A833" s="8">
        <v>676</v>
      </c>
      <c r="B833" s="8" t="s">
        <v>1024</v>
      </c>
      <c r="C833" s="9" t="s">
        <v>1025</v>
      </c>
      <c r="D833" s="8" t="s">
        <v>1083</v>
      </c>
      <c r="E833" s="8" t="s">
        <v>462</v>
      </c>
      <c r="F833" s="8" t="s">
        <v>455</v>
      </c>
      <c r="G833" s="8" t="s">
        <v>542</v>
      </c>
    </row>
    <row r="834" spans="1:7" ht="28" customHeight="1">
      <c r="A834" s="8">
        <v>676</v>
      </c>
      <c r="B834" s="8" t="s">
        <v>1024</v>
      </c>
      <c r="C834" s="9" t="s">
        <v>1025</v>
      </c>
      <c r="D834" s="8" t="s">
        <v>1084</v>
      </c>
      <c r="E834" s="8" t="s">
        <v>462</v>
      </c>
      <c r="F834" s="8" t="s">
        <v>455</v>
      </c>
      <c r="G834" s="8" t="s">
        <v>542</v>
      </c>
    </row>
    <row r="835" spans="1:7" ht="28" customHeight="1">
      <c r="A835" s="8">
        <v>676</v>
      </c>
      <c r="B835" s="8" t="s">
        <v>1024</v>
      </c>
      <c r="C835" s="9" t="s">
        <v>1025</v>
      </c>
      <c r="D835" s="8" t="s">
        <v>1085</v>
      </c>
      <c r="E835" s="8" t="s">
        <v>462</v>
      </c>
      <c r="F835" s="8" t="s">
        <v>455</v>
      </c>
      <c r="G835" s="8" t="s">
        <v>542</v>
      </c>
    </row>
    <row r="836" spans="1:7" ht="28" customHeight="1">
      <c r="A836" s="8">
        <v>676</v>
      </c>
      <c r="B836" s="8" t="s">
        <v>1024</v>
      </c>
      <c r="C836" s="9" t="s">
        <v>1025</v>
      </c>
      <c r="D836" s="8" t="s">
        <v>1086</v>
      </c>
      <c r="E836" s="8" t="s">
        <v>462</v>
      </c>
      <c r="F836" s="8" t="s">
        <v>455</v>
      </c>
      <c r="G836" s="8" t="s">
        <v>542</v>
      </c>
    </row>
    <row r="837" spans="1:7" ht="28" customHeight="1">
      <c r="A837" s="8">
        <v>676</v>
      </c>
      <c r="B837" s="8" t="s">
        <v>1024</v>
      </c>
      <c r="C837" s="9" t="s">
        <v>1025</v>
      </c>
      <c r="D837" s="8" t="s">
        <v>1087</v>
      </c>
      <c r="E837" s="8" t="s">
        <v>462</v>
      </c>
      <c r="F837" s="8" t="s">
        <v>455</v>
      </c>
      <c r="G837" s="8" t="s">
        <v>542</v>
      </c>
    </row>
    <row r="838" spans="1:7" ht="28" customHeight="1">
      <c r="A838" s="8">
        <v>676</v>
      </c>
      <c r="B838" s="8" t="s">
        <v>1024</v>
      </c>
      <c r="C838" s="9" t="s">
        <v>1025</v>
      </c>
      <c r="D838" s="8" t="s">
        <v>1088</v>
      </c>
      <c r="E838" s="8" t="s">
        <v>462</v>
      </c>
      <c r="F838" s="8" t="s">
        <v>455</v>
      </c>
      <c r="G838" s="8" t="s">
        <v>542</v>
      </c>
    </row>
    <row r="839" spans="1:7" ht="28" customHeight="1">
      <c r="A839" s="8">
        <v>676</v>
      </c>
      <c r="B839" s="8" t="s">
        <v>1024</v>
      </c>
      <c r="C839" s="9" t="s">
        <v>1025</v>
      </c>
      <c r="D839" s="8" t="s">
        <v>1089</v>
      </c>
      <c r="E839" s="8" t="s">
        <v>462</v>
      </c>
      <c r="F839" s="8" t="s">
        <v>455</v>
      </c>
      <c r="G839" s="8" t="s">
        <v>542</v>
      </c>
    </row>
    <row r="840" spans="1:7" ht="28" customHeight="1">
      <c r="A840" s="6">
        <v>677</v>
      </c>
      <c r="B840" s="6" t="s">
        <v>1024</v>
      </c>
      <c r="C840" s="7" t="s">
        <v>1025</v>
      </c>
      <c r="D840" s="6" t="s">
        <v>1090</v>
      </c>
      <c r="E840" s="6" t="s">
        <v>481</v>
      </c>
      <c r="F840" s="6" t="s">
        <v>455</v>
      </c>
      <c r="G840" s="6" t="s">
        <v>452</v>
      </c>
    </row>
    <row r="841" spans="1:7" ht="28" customHeight="1">
      <c r="A841" s="8">
        <v>678</v>
      </c>
      <c r="B841" s="8" t="s">
        <v>1024</v>
      </c>
      <c r="C841" s="9" t="s">
        <v>1025</v>
      </c>
      <c r="D841" s="8" t="s">
        <v>1091</v>
      </c>
      <c r="E841" s="8" t="s">
        <v>481</v>
      </c>
      <c r="F841" s="8" t="s">
        <v>455</v>
      </c>
      <c r="G841" s="8" t="s">
        <v>452</v>
      </c>
    </row>
    <row r="842" spans="1:7" ht="28" customHeight="1">
      <c r="A842" s="8">
        <v>678</v>
      </c>
      <c r="B842" s="8" t="s">
        <v>1024</v>
      </c>
      <c r="C842" s="9" t="s">
        <v>1025</v>
      </c>
      <c r="D842" s="8" t="s">
        <v>2309</v>
      </c>
      <c r="E842" s="8" t="s">
        <v>481</v>
      </c>
      <c r="F842" s="8" t="s">
        <v>455</v>
      </c>
      <c r="G842" s="8" t="s">
        <v>452</v>
      </c>
    </row>
    <row r="843" spans="1:7" ht="28" customHeight="1">
      <c r="A843" s="6">
        <v>679</v>
      </c>
      <c r="B843" s="6" t="s">
        <v>1024</v>
      </c>
      <c r="C843" s="7" t="s">
        <v>1025</v>
      </c>
      <c r="D843" s="6" t="s">
        <v>1092</v>
      </c>
      <c r="E843" s="6" t="s">
        <v>486</v>
      </c>
      <c r="F843" s="6" t="s">
        <v>552</v>
      </c>
      <c r="G843" s="6" t="s">
        <v>452</v>
      </c>
    </row>
    <row r="844" spans="1:7" ht="28" customHeight="1">
      <c r="A844" s="8">
        <v>680</v>
      </c>
      <c r="B844" s="8" t="s">
        <v>1024</v>
      </c>
      <c r="C844" s="9" t="s">
        <v>1025</v>
      </c>
      <c r="D844" s="8" t="s">
        <v>1093</v>
      </c>
      <c r="E844" s="8" t="s">
        <v>486</v>
      </c>
      <c r="F844" s="8" t="s">
        <v>552</v>
      </c>
      <c r="G844" s="8" t="s">
        <v>452</v>
      </c>
    </row>
    <row r="845" spans="1:7" ht="28" customHeight="1">
      <c r="A845" s="6">
        <v>681</v>
      </c>
      <c r="B845" s="6" t="s">
        <v>1024</v>
      </c>
      <c r="C845" s="7" t="s">
        <v>1025</v>
      </c>
      <c r="D845" s="6" t="s">
        <v>1094</v>
      </c>
      <c r="E845" s="6" t="s">
        <v>486</v>
      </c>
      <c r="F845" s="6" t="s">
        <v>552</v>
      </c>
      <c r="G845" s="6" t="s">
        <v>452</v>
      </c>
    </row>
    <row r="846" spans="1:7" ht="28" customHeight="1">
      <c r="A846" s="8">
        <v>682</v>
      </c>
      <c r="B846" s="8" t="s">
        <v>1024</v>
      </c>
      <c r="C846" s="9" t="s">
        <v>1025</v>
      </c>
      <c r="D846" s="8" t="s">
        <v>1095</v>
      </c>
      <c r="E846" s="8" t="s">
        <v>494</v>
      </c>
      <c r="F846" s="8" t="s">
        <v>455</v>
      </c>
      <c r="G846" s="8" t="s">
        <v>452</v>
      </c>
    </row>
    <row r="847" spans="1:7" ht="28" customHeight="1">
      <c r="A847" s="6">
        <v>683</v>
      </c>
      <c r="B847" s="6" t="s">
        <v>1024</v>
      </c>
      <c r="C847" s="7" t="s">
        <v>1025</v>
      </c>
      <c r="D847" s="6" t="s">
        <v>1096</v>
      </c>
      <c r="E847" s="6" t="s">
        <v>494</v>
      </c>
      <c r="F847" s="6" t="s">
        <v>455</v>
      </c>
      <c r="G847" s="6" t="s">
        <v>452</v>
      </c>
    </row>
    <row r="848" spans="1:7" ht="28" customHeight="1">
      <c r="A848" s="8">
        <v>684</v>
      </c>
      <c r="B848" s="8" t="s">
        <v>1024</v>
      </c>
      <c r="C848" s="9" t="s">
        <v>1025</v>
      </c>
      <c r="D848" s="8" t="s">
        <v>1097</v>
      </c>
      <c r="E848" s="8" t="s">
        <v>494</v>
      </c>
      <c r="F848" s="8" t="s">
        <v>455</v>
      </c>
      <c r="G848" s="8" t="s">
        <v>452</v>
      </c>
    </row>
    <row r="849" spans="1:7" ht="28" customHeight="1">
      <c r="A849" s="6">
        <v>685</v>
      </c>
      <c r="B849" s="6" t="s">
        <v>1024</v>
      </c>
      <c r="C849" s="7" t="s">
        <v>1025</v>
      </c>
      <c r="D849" s="6" t="s">
        <v>1098</v>
      </c>
      <c r="E849" s="6" t="s">
        <v>494</v>
      </c>
      <c r="F849" s="6" t="s">
        <v>455</v>
      </c>
      <c r="G849" s="6" t="s">
        <v>452</v>
      </c>
    </row>
    <row r="850" spans="1:7" ht="28" customHeight="1">
      <c r="A850" s="8">
        <v>686</v>
      </c>
      <c r="B850" s="8" t="s">
        <v>1024</v>
      </c>
      <c r="C850" s="9" t="s">
        <v>1025</v>
      </c>
      <c r="D850" s="8" t="s">
        <v>1099</v>
      </c>
      <c r="E850" s="8" t="s">
        <v>465</v>
      </c>
      <c r="F850" s="8" t="s">
        <v>481</v>
      </c>
      <c r="G850" s="8" t="s">
        <v>452</v>
      </c>
    </row>
    <row r="851" spans="1:7" ht="28" customHeight="1">
      <c r="A851" s="6">
        <v>687</v>
      </c>
      <c r="B851" s="6" t="s">
        <v>1024</v>
      </c>
      <c r="C851" s="7" t="s">
        <v>1025</v>
      </c>
      <c r="D851" s="6" t="s">
        <v>1100</v>
      </c>
      <c r="E851" s="6" t="s">
        <v>465</v>
      </c>
      <c r="F851" s="6" t="s">
        <v>481</v>
      </c>
      <c r="G851" s="6" t="s">
        <v>452</v>
      </c>
    </row>
    <row r="852" spans="1:7" ht="28" customHeight="1">
      <c r="A852" s="8">
        <v>688</v>
      </c>
      <c r="B852" s="8" t="s">
        <v>1024</v>
      </c>
      <c r="C852" s="9" t="s">
        <v>1025</v>
      </c>
      <c r="D852" s="8" t="s">
        <v>1101</v>
      </c>
      <c r="E852" s="8" t="s">
        <v>519</v>
      </c>
      <c r="F852" s="8" t="s">
        <v>457</v>
      </c>
      <c r="G852" s="8" t="s">
        <v>452</v>
      </c>
    </row>
    <row r="853" spans="1:7" ht="28" customHeight="1">
      <c r="A853" s="6">
        <v>689</v>
      </c>
      <c r="B853" s="6" t="s">
        <v>1024</v>
      </c>
      <c r="C853" s="7" t="s">
        <v>1025</v>
      </c>
      <c r="D853" s="6" t="s">
        <v>1102</v>
      </c>
      <c r="E853" s="6" t="s">
        <v>519</v>
      </c>
      <c r="F853" s="6" t="s">
        <v>457</v>
      </c>
      <c r="G853" s="6" t="s">
        <v>452</v>
      </c>
    </row>
    <row r="854" spans="1:7" ht="28" customHeight="1">
      <c r="A854" s="8">
        <v>690</v>
      </c>
      <c r="B854" s="8" t="s">
        <v>1024</v>
      </c>
      <c r="C854" s="9" t="s">
        <v>1025</v>
      </c>
      <c r="D854" s="8" t="s">
        <v>405</v>
      </c>
      <c r="E854" s="8" t="s">
        <v>451</v>
      </c>
      <c r="F854" s="8" t="s">
        <v>457</v>
      </c>
      <c r="G854" s="8" t="s">
        <v>452</v>
      </c>
    </row>
    <row r="855" spans="1:7" ht="28" customHeight="1">
      <c r="A855" s="6">
        <v>691</v>
      </c>
      <c r="B855" s="6" t="s">
        <v>1024</v>
      </c>
      <c r="C855" s="7" t="s">
        <v>1025</v>
      </c>
      <c r="D855" s="6" t="s">
        <v>1103</v>
      </c>
      <c r="E855" s="6" t="s">
        <v>451</v>
      </c>
      <c r="F855" s="6" t="s">
        <v>561</v>
      </c>
      <c r="G855" s="6" t="s">
        <v>452</v>
      </c>
    </row>
    <row r="856" spans="1:7" ht="28" customHeight="1">
      <c r="A856" s="8">
        <v>692</v>
      </c>
      <c r="B856" s="8" t="s">
        <v>1024</v>
      </c>
      <c r="C856" s="9" t="s">
        <v>1025</v>
      </c>
      <c r="D856" s="8" t="s">
        <v>1104</v>
      </c>
      <c r="E856" s="8" t="s">
        <v>457</v>
      </c>
      <c r="F856" s="8" t="s">
        <v>455</v>
      </c>
      <c r="G856" s="8" t="s">
        <v>452</v>
      </c>
    </row>
    <row r="857" spans="1:7" ht="28" customHeight="1">
      <c r="A857" s="6">
        <v>693</v>
      </c>
      <c r="B857" s="6" t="s">
        <v>1024</v>
      </c>
      <c r="C857" s="7" t="s">
        <v>1025</v>
      </c>
      <c r="D857" s="6" t="s">
        <v>1105</v>
      </c>
      <c r="E857" s="6" t="s">
        <v>457</v>
      </c>
      <c r="F857" s="6" t="s">
        <v>455</v>
      </c>
      <c r="G857" s="6" t="s">
        <v>452</v>
      </c>
    </row>
    <row r="858" spans="1:7" ht="28" customHeight="1">
      <c r="A858" s="8">
        <v>694</v>
      </c>
      <c r="B858" s="8" t="s">
        <v>1024</v>
      </c>
      <c r="C858" s="9" t="s">
        <v>1025</v>
      </c>
      <c r="D858" s="8" t="s">
        <v>1106</v>
      </c>
      <c r="E858" s="8" t="s">
        <v>471</v>
      </c>
      <c r="F858" s="8" t="s">
        <v>462</v>
      </c>
      <c r="G858" s="8" t="s">
        <v>452</v>
      </c>
    </row>
    <row r="859" spans="1:7" ht="28" customHeight="1">
      <c r="A859" s="6">
        <v>695</v>
      </c>
      <c r="B859" s="6" t="s">
        <v>1024</v>
      </c>
      <c r="C859" s="7" t="s">
        <v>1025</v>
      </c>
      <c r="D859" s="6" t="s">
        <v>408</v>
      </c>
      <c r="E859" s="6" t="s">
        <v>471</v>
      </c>
      <c r="F859" s="6" t="s">
        <v>462</v>
      </c>
      <c r="G859" s="6" t="s">
        <v>452</v>
      </c>
    </row>
    <row r="860" spans="1:7" ht="28" customHeight="1">
      <c r="A860" s="8">
        <v>696</v>
      </c>
      <c r="B860" s="8" t="s">
        <v>1024</v>
      </c>
      <c r="C860" s="9" t="s">
        <v>1025</v>
      </c>
      <c r="D860" s="8" t="s">
        <v>1107</v>
      </c>
      <c r="E860" s="8" t="s">
        <v>519</v>
      </c>
      <c r="F860" s="8" t="s">
        <v>561</v>
      </c>
      <c r="G860" s="8" t="s">
        <v>452</v>
      </c>
    </row>
    <row r="861" spans="1:7" ht="28" customHeight="1">
      <c r="A861" s="6">
        <v>697</v>
      </c>
      <c r="B861" s="6" t="s">
        <v>1024</v>
      </c>
      <c r="C861" s="7" t="s">
        <v>1025</v>
      </c>
      <c r="D861" s="6" t="s">
        <v>1108</v>
      </c>
      <c r="E861" s="6" t="s">
        <v>519</v>
      </c>
      <c r="F861" s="6" t="s">
        <v>561</v>
      </c>
      <c r="G861" s="6" t="s">
        <v>452</v>
      </c>
    </row>
    <row r="862" spans="1:7" ht="28" customHeight="1">
      <c r="A862" s="8">
        <v>698</v>
      </c>
      <c r="B862" s="8" t="s">
        <v>1024</v>
      </c>
      <c r="C862" s="9" t="s">
        <v>1025</v>
      </c>
      <c r="D862" s="8" t="s">
        <v>1109</v>
      </c>
      <c r="E862" s="8" t="s">
        <v>519</v>
      </c>
      <c r="F862" s="8" t="s">
        <v>485</v>
      </c>
      <c r="G862" s="8" t="s">
        <v>452</v>
      </c>
    </row>
    <row r="863" spans="1:7" ht="28" customHeight="1">
      <c r="A863" s="6">
        <v>699</v>
      </c>
      <c r="B863" s="6" t="s">
        <v>1024</v>
      </c>
      <c r="C863" s="7" t="s">
        <v>1025</v>
      </c>
      <c r="D863" s="6" t="s">
        <v>1110</v>
      </c>
      <c r="E863" s="6" t="s">
        <v>519</v>
      </c>
      <c r="F863" s="6" t="s">
        <v>485</v>
      </c>
      <c r="G863" s="6" t="s">
        <v>452</v>
      </c>
    </row>
    <row r="864" spans="1:7" ht="28" customHeight="1">
      <c r="A864" s="8">
        <v>700</v>
      </c>
      <c r="B864" s="8" t="s">
        <v>1024</v>
      </c>
      <c r="C864" s="9" t="s">
        <v>1025</v>
      </c>
      <c r="D864" s="8" t="s">
        <v>1111</v>
      </c>
      <c r="E864" s="8" t="s">
        <v>494</v>
      </c>
      <c r="F864" s="8" t="s">
        <v>455</v>
      </c>
      <c r="G864" s="8" t="s">
        <v>452</v>
      </c>
    </row>
    <row r="865" spans="1:7" ht="28" customHeight="1">
      <c r="A865" s="6">
        <v>701</v>
      </c>
      <c r="B865" s="6" t="s">
        <v>1024</v>
      </c>
      <c r="C865" s="7" t="s">
        <v>1025</v>
      </c>
      <c r="D865" s="6" t="s">
        <v>410</v>
      </c>
      <c r="E865" s="6" t="s">
        <v>515</v>
      </c>
      <c r="F865" s="6" t="s">
        <v>456</v>
      </c>
      <c r="G865" s="6" t="s">
        <v>542</v>
      </c>
    </row>
    <row r="866" spans="1:7" ht="28" customHeight="1">
      <c r="A866" s="8">
        <v>702</v>
      </c>
      <c r="B866" s="8" t="s">
        <v>1024</v>
      </c>
      <c r="C866" s="9" t="s">
        <v>1025</v>
      </c>
      <c r="D866" s="8" t="s">
        <v>413</v>
      </c>
      <c r="E866" s="8" t="s">
        <v>471</v>
      </c>
      <c r="F866" s="8" t="s">
        <v>494</v>
      </c>
      <c r="G866" s="8" t="s">
        <v>542</v>
      </c>
    </row>
    <row r="867" spans="1:7" ht="28" customHeight="1">
      <c r="A867" s="6">
        <v>703</v>
      </c>
      <c r="B867" s="6" t="s">
        <v>1024</v>
      </c>
      <c r="C867" s="7" t="s">
        <v>1025</v>
      </c>
      <c r="D867" s="6" t="s">
        <v>1112</v>
      </c>
      <c r="E867" s="6" t="s">
        <v>519</v>
      </c>
      <c r="F867" s="6" t="s">
        <v>494</v>
      </c>
      <c r="G867" s="6" t="s">
        <v>542</v>
      </c>
    </row>
    <row r="868" spans="1:7" ht="28" customHeight="1">
      <c r="A868" s="8">
        <v>704</v>
      </c>
      <c r="B868" s="8" t="s">
        <v>1024</v>
      </c>
      <c r="C868" s="9" t="s">
        <v>1025</v>
      </c>
      <c r="D868" s="8" t="s">
        <v>1113</v>
      </c>
      <c r="E868" s="8" t="s">
        <v>561</v>
      </c>
      <c r="F868" s="8" t="s">
        <v>455</v>
      </c>
      <c r="G868" s="8" t="s">
        <v>452</v>
      </c>
    </row>
    <row r="869" spans="1:7" ht="28" customHeight="1">
      <c r="A869" s="6">
        <v>705</v>
      </c>
      <c r="B869" s="6" t="s">
        <v>1024</v>
      </c>
      <c r="C869" s="7" t="s">
        <v>1025</v>
      </c>
      <c r="D869" s="6" t="s">
        <v>1114</v>
      </c>
      <c r="E869" s="6" t="s">
        <v>561</v>
      </c>
      <c r="F869" s="6" t="s">
        <v>455</v>
      </c>
      <c r="G869" s="6" t="s">
        <v>452</v>
      </c>
    </row>
    <row r="870" spans="1:7" ht="28" customHeight="1">
      <c r="A870" s="6">
        <v>705</v>
      </c>
      <c r="B870" s="6" t="s">
        <v>1024</v>
      </c>
      <c r="C870" s="7" t="s">
        <v>1025</v>
      </c>
      <c r="D870" s="6" t="s">
        <v>1115</v>
      </c>
      <c r="E870" s="6" t="s">
        <v>486</v>
      </c>
      <c r="F870" s="6" t="s">
        <v>561</v>
      </c>
      <c r="G870" s="6" t="s">
        <v>452</v>
      </c>
    </row>
    <row r="871" spans="1:7" ht="28" customHeight="1">
      <c r="A871" s="8">
        <v>706</v>
      </c>
      <c r="B871" s="8" t="s">
        <v>1024</v>
      </c>
      <c r="C871" s="9" t="s">
        <v>1025</v>
      </c>
      <c r="D871" s="8" t="s">
        <v>1116</v>
      </c>
      <c r="E871" s="8" t="s">
        <v>561</v>
      </c>
      <c r="F871" s="8" t="s">
        <v>455</v>
      </c>
      <c r="G871" s="8" t="s">
        <v>452</v>
      </c>
    </row>
    <row r="872" spans="1:7" ht="28" customHeight="1">
      <c r="A872" s="8">
        <v>706</v>
      </c>
      <c r="B872" s="8" t="s">
        <v>1024</v>
      </c>
      <c r="C872" s="9" t="s">
        <v>1025</v>
      </c>
      <c r="D872" s="8" t="s">
        <v>1117</v>
      </c>
      <c r="E872" s="8" t="s">
        <v>486</v>
      </c>
      <c r="F872" s="8" t="s">
        <v>561</v>
      </c>
      <c r="G872" s="8" t="s">
        <v>452</v>
      </c>
    </row>
    <row r="873" spans="1:7" ht="28" customHeight="1">
      <c r="A873" s="6">
        <v>707</v>
      </c>
      <c r="B873" s="6" t="s">
        <v>1024</v>
      </c>
      <c r="C873" s="7" t="s">
        <v>1025</v>
      </c>
      <c r="D873" s="6" t="s">
        <v>1118</v>
      </c>
      <c r="E873" s="6" t="s">
        <v>486</v>
      </c>
      <c r="F873" s="6" t="s">
        <v>494</v>
      </c>
      <c r="G873" s="6" t="s">
        <v>452</v>
      </c>
    </row>
    <row r="874" spans="1:7" ht="28" customHeight="1">
      <c r="A874" s="8">
        <v>708</v>
      </c>
      <c r="B874" s="8" t="s">
        <v>1024</v>
      </c>
      <c r="C874" s="9" t="s">
        <v>1025</v>
      </c>
      <c r="D874" s="8" t="s">
        <v>415</v>
      </c>
      <c r="E874" s="8" t="s">
        <v>552</v>
      </c>
      <c r="F874" s="8" t="s">
        <v>450</v>
      </c>
      <c r="G874" s="8" t="s">
        <v>542</v>
      </c>
    </row>
    <row r="875" spans="1:7" ht="28" customHeight="1">
      <c r="A875" s="6">
        <v>709</v>
      </c>
      <c r="B875" s="6" t="s">
        <v>1024</v>
      </c>
      <c r="C875" s="7" t="s">
        <v>1025</v>
      </c>
      <c r="D875" s="6" t="s">
        <v>1119</v>
      </c>
      <c r="E875" s="6" t="s">
        <v>552</v>
      </c>
      <c r="F875" s="6" t="s">
        <v>450</v>
      </c>
      <c r="G875" s="6" t="s">
        <v>452</v>
      </c>
    </row>
    <row r="876" spans="1:7" ht="28" customHeight="1">
      <c r="A876" s="8">
        <v>710</v>
      </c>
      <c r="B876" s="8" t="s">
        <v>1024</v>
      </c>
      <c r="C876" s="9" t="s">
        <v>1025</v>
      </c>
      <c r="D876" s="8" t="s">
        <v>1120</v>
      </c>
      <c r="E876" s="8" t="s">
        <v>552</v>
      </c>
      <c r="F876" s="8" t="s">
        <v>450</v>
      </c>
      <c r="G876" s="8" t="s">
        <v>452</v>
      </c>
    </row>
    <row r="877" spans="1:7" ht="28" customHeight="1">
      <c r="A877" s="8">
        <v>710</v>
      </c>
      <c r="B877" s="8" t="s">
        <v>1024</v>
      </c>
      <c r="C877" s="9" t="s">
        <v>1025</v>
      </c>
      <c r="D877" s="8" t="s">
        <v>1121</v>
      </c>
      <c r="E877" s="8" t="s">
        <v>552</v>
      </c>
      <c r="F877" s="8" t="s">
        <v>450</v>
      </c>
      <c r="G877" s="8" t="s">
        <v>452</v>
      </c>
    </row>
    <row r="878" spans="1:7" ht="28" customHeight="1">
      <c r="A878" s="8">
        <v>710</v>
      </c>
      <c r="B878" s="8" t="s">
        <v>1024</v>
      </c>
      <c r="C878" s="9" t="s">
        <v>1025</v>
      </c>
      <c r="D878" s="8" t="s">
        <v>1122</v>
      </c>
      <c r="E878" s="8" t="s">
        <v>552</v>
      </c>
      <c r="F878" s="8" t="s">
        <v>450</v>
      </c>
      <c r="G878" s="8" t="s">
        <v>452</v>
      </c>
    </row>
    <row r="879" spans="1:7" ht="28" customHeight="1">
      <c r="A879" s="8">
        <v>710</v>
      </c>
      <c r="B879" s="8" t="s">
        <v>1024</v>
      </c>
      <c r="C879" s="9" t="s">
        <v>1025</v>
      </c>
      <c r="D879" s="8" t="s">
        <v>1123</v>
      </c>
      <c r="E879" s="8" t="s">
        <v>552</v>
      </c>
      <c r="F879" s="8" t="s">
        <v>450</v>
      </c>
      <c r="G879" s="8" t="s">
        <v>452</v>
      </c>
    </row>
    <row r="880" spans="1:7" ht="28" customHeight="1">
      <c r="A880" s="6">
        <v>711</v>
      </c>
      <c r="B880" s="6" t="s">
        <v>1024</v>
      </c>
      <c r="C880" s="7" t="s">
        <v>1025</v>
      </c>
      <c r="D880" s="6" t="s">
        <v>1124</v>
      </c>
      <c r="E880" s="6" t="s">
        <v>552</v>
      </c>
      <c r="F880" s="6" t="s">
        <v>450</v>
      </c>
      <c r="G880" s="6" t="s">
        <v>452</v>
      </c>
    </row>
    <row r="881" spans="1:7" ht="28" customHeight="1">
      <c r="A881" s="6">
        <v>711</v>
      </c>
      <c r="B881" s="6" t="s">
        <v>1024</v>
      </c>
      <c r="C881" s="7" t="s">
        <v>1025</v>
      </c>
      <c r="D881" s="6" t="s">
        <v>1125</v>
      </c>
      <c r="E881" s="6" t="s">
        <v>552</v>
      </c>
      <c r="F881" s="6" t="s">
        <v>450</v>
      </c>
      <c r="G881" s="6" t="s">
        <v>452</v>
      </c>
    </row>
    <row r="882" spans="1:7" ht="28" customHeight="1">
      <c r="A882" s="6">
        <v>711</v>
      </c>
      <c r="B882" s="6" t="s">
        <v>1024</v>
      </c>
      <c r="C882" s="7" t="s">
        <v>1025</v>
      </c>
      <c r="D882" s="6" t="s">
        <v>1126</v>
      </c>
      <c r="E882" s="6" t="s">
        <v>552</v>
      </c>
      <c r="F882" s="6" t="s">
        <v>450</v>
      </c>
      <c r="G882" s="6" t="s">
        <v>452</v>
      </c>
    </row>
    <row r="883" spans="1:7" ht="28" customHeight="1">
      <c r="A883" s="6">
        <v>711</v>
      </c>
      <c r="B883" s="6" t="s">
        <v>1024</v>
      </c>
      <c r="C883" s="7" t="s">
        <v>1025</v>
      </c>
      <c r="D883" s="6" t="s">
        <v>1127</v>
      </c>
      <c r="E883" s="6" t="s">
        <v>552</v>
      </c>
      <c r="F883" s="6" t="s">
        <v>450</v>
      </c>
      <c r="G883" s="6" t="s">
        <v>452</v>
      </c>
    </row>
    <row r="884" spans="1:7" ht="28" customHeight="1">
      <c r="A884" s="8">
        <v>712</v>
      </c>
      <c r="B884" s="8" t="s">
        <v>1024</v>
      </c>
      <c r="C884" s="9" t="s">
        <v>1025</v>
      </c>
      <c r="D884" s="8" t="s">
        <v>1128</v>
      </c>
      <c r="E884" s="8" t="s">
        <v>485</v>
      </c>
      <c r="F884" s="8" t="s">
        <v>455</v>
      </c>
      <c r="G884" s="8" t="s">
        <v>452</v>
      </c>
    </row>
    <row r="885" spans="1:7" ht="28" customHeight="1">
      <c r="A885" s="6">
        <v>713</v>
      </c>
      <c r="B885" s="6" t="s">
        <v>1024</v>
      </c>
      <c r="C885" s="7" t="s">
        <v>1025</v>
      </c>
      <c r="D885" s="6" t="s">
        <v>417</v>
      </c>
      <c r="E885" s="6" t="s">
        <v>485</v>
      </c>
      <c r="F885" s="6" t="s">
        <v>455</v>
      </c>
      <c r="G885" s="6" t="s">
        <v>452</v>
      </c>
    </row>
    <row r="886" spans="1:7" ht="28" customHeight="1">
      <c r="A886" s="6">
        <v>713</v>
      </c>
      <c r="B886" s="6" t="s">
        <v>1024</v>
      </c>
      <c r="C886" s="7" t="s">
        <v>1025</v>
      </c>
      <c r="D886" s="6" t="s">
        <v>1129</v>
      </c>
      <c r="E886" s="6" t="s">
        <v>485</v>
      </c>
      <c r="F886" s="6" t="s">
        <v>519</v>
      </c>
      <c r="G886" s="6" t="s">
        <v>452</v>
      </c>
    </row>
    <row r="887" spans="1:7" ht="28" customHeight="1">
      <c r="A887" s="8">
        <v>714</v>
      </c>
      <c r="B887" s="8" t="s">
        <v>1024</v>
      </c>
      <c r="C887" s="9" t="s">
        <v>1025</v>
      </c>
      <c r="D887" s="8" t="s">
        <v>419</v>
      </c>
      <c r="E887" s="8" t="s">
        <v>456</v>
      </c>
      <c r="F887" s="8" t="s">
        <v>561</v>
      </c>
      <c r="G887" s="8" t="s">
        <v>452</v>
      </c>
    </row>
    <row r="888" spans="1:7" ht="28" customHeight="1">
      <c r="A888" s="6">
        <v>715</v>
      </c>
      <c r="B888" s="6" t="s">
        <v>1024</v>
      </c>
      <c r="C888" s="7" t="s">
        <v>1025</v>
      </c>
      <c r="D888" s="6" t="s">
        <v>1130</v>
      </c>
      <c r="E888" s="6" t="s">
        <v>456</v>
      </c>
      <c r="F888" s="6" t="s">
        <v>561</v>
      </c>
      <c r="G888" s="6" t="s">
        <v>452</v>
      </c>
    </row>
    <row r="889" spans="1:7" ht="28" customHeight="1">
      <c r="A889" s="8">
        <v>716</v>
      </c>
      <c r="B889" s="8" t="s">
        <v>1024</v>
      </c>
      <c r="C889" s="9" t="s">
        <v>1025</v>
      </c>
      <c r="D889" s="8" t="s">
        <v>1131</v>
      </c>
      <c r="E889" s="8" t="s">
        <v>494</v>
      </c>
      <c r="F889" s="8" t="s">
        <v>455</v>
      </c>
      <c r="G889" s="8" t="s">
        <v>542</v>
      </c>
    </row>
    <row r="890" spans="1:7" ht="28" customHeight="1">
      <c r="A890" s="6">
        <v>717</v>
      </c>
      <c r="B890" s="6" t="s">
        <v>1024</v>
      </c>
      <c r="C890" s="7" t="s">
        <v>1025</v>
      </c>
      <c r="D890" s="6" t="s">
        <v>421</v>
      </c>
      <c r="E890" s="6" t="s">
        <v>465</v>
      </c>
      <c r="F890" s="6" t="s">
        <v>456</v>
      </c>
      <c r="G890" s="6" t="s">
        <v>542</v>
      </c>
    </row>
    <row r="891" spans="1:7" ht="28" customHeight="1">
      <c r="A891" s="8">
        <v>718</v>
      </c>
      <c r="B891" s="8" t="s">
        <v>1024</v>
      </c>
      <c r="C891" s="9" t="s">
        <v>1025</v>
      </c>
      <c r="D891" s="8" t="s">
        <v>1132</v>
      </c>
      <c r="E891" s="8" t="s">
        <v>561</v>
      </c>
      <c r="F891" s="8" t="s">
        <v>483</v>
      </c>
      <c r="G891" s="8" t="s">
        <v>542</v>
      </c>
    </row>
    <row r="892" spans="1:7" ht="28" customHeight="1">
      <c r="A892" s="8">
        <v>718</v>
      </c>
      <c r="B892" s="8" t="s">
        <v>1024</v>
      </c>
      <c r="C892" s="9" t="s">
        <v>1025</v>
      </c>
      <c r="D892" s="8" t="s">
        <v>1133</v>
      </c>
      <c r="E892" s="8" t="s">
        <v>561</v>
      </c>
      <c r="F892" s="8" t="s">
        <v>483</v>
      </c>
      <c r="G892" s="8" t="s">
        <v>542</v>
      </c>
    </row>
    <row r="893" spans="1:7" ht="28" customHeight="1">
      <c r="A893" s="8">
        <v>718</v>
      </c>
      <c r="B893" s="8" t="s">
        <v>1024</v>
      </c>
      <c r="C893" s="9" t="s">
        <v>1025</v>
      </c>
      <c r="D893" s="8" t="s">
        <v>1134</v>
      </c>
      <c r="E893" s="8" t="s">
        <v>561</v>
      </c>
      <c r="F893" s="8" t="s">
        <v>483</v>
      </c>
      <c r="G893" s="8" t="s">
        <v>542</v>
      </c>
    </row>
    <row r="894" spans="1:7" ht="28" customHeight="1">
      <c r="A894" s="8">
        <v>718</v>
      </c>
      <c r="B894" s="8" t="s">
        <v>1024</v>
      </c>
      <c r="C894" s="9" t="s">
        <v>1025</v>
      </c>
      <c r="D894" s="8" t="s">
        <v>1134</v>
      </c>
      <c r="E894" s="8" t="s">
        <v>561</v>
      </c>
      <c r="F894" s="8" t="s">
        <v>483</v>
      </c>
      <c r="G894" s="8" t="s">
        <v>542</v>
      </c>
    </row>
    <row r="895" spans="1:7" ht="28" customHeight="1">
      <c r="A895" s="6">
        <v>719</v>
      </c>
      <c r="B895" s="6" t="s">
        <v>1024</v>
      </c>
      <c r="C895" s="7" t="s">
        <v>1025</v>
      </c>
      <c r="D895" s="6" t="s">
        <v>1135</v>
      </c>
      <c r="E895" s="6" t="s">
        <v>519</v>
      </c>
      <c r="F895" s="6" t="s">
        <v>494</v>
      </c>
      <c r="G895" s="6" t="s">
        <v>542</v>
      </c>
    </row>
    <row r="896" spans="1:7" ht="28" customHeight="1">
      <c r="A896" s="8">
        <v>720</v>
      </c>
      <c r="B896" s="8" t="s">
        <v>1024</v>
      </c>
      <c r="C896" s="9" t="s">
        <v>1025</v>
      </c>
      <c r="D896" s="8" t="s">
        <v>1136</v>
      </c>
      <c r="E896" s="8" t="s">
        <v>481</v>
      </c>
      <c r="F896" s="8" t="s">
        <v>552</v>
      </c>
      <c r="G896" s="8" t="s">
        <v>542</v>
      </c>
    </row>
    <row r="897" spans="1:7" ht="28" customHeight="1">
      <c r="A897" s="8">
        <v>720</v>
      </c>
      <c r="B897" s="8" t="s">
        <v>1024</v>
      </c>
      <c r="C897" s="9" t="s">
        <v>1025</v>
      </c>
      <c r="D897" s="8" t="s">
        <v>1137</v>
      </c>
      <c r="E897" s="8" t="s">
        <v>481</v>
      </c>
      <c r="F897" s="8" t="s">
        <v>465</v>
      </c>
      <c r="G897" s="8" t="s">
        <v>542</v>
      </c>
    </row>
    <row r="898" spans="1:7" ht="28" customHeight="1">
      <c r="A898" s="6">
        <v>721</v>
      </c>
      <c r="B898" s="6" t="s">
        <v>1024</v>
      </c>
      <c r="C898" s="7" t="s">
        <v>1025</v>
      </c>
      <c r="D898" s="6" t="s">
        <v>1138</v>
      </c>
      <c r="E898" s="6" t="s">
        <v>454</v>
      </c>
      <c r="F898" s="6" t="s">
        <v>457</v>
      </c>
      <c r="G898" s="6" t="s">
        <v>542</v>
      </c>
    </row>
    <row r="899" spans="1:7" ht="28" customHeight="1">
      <c r="A899" s="8">
        <v>722</v>
      </c>
      <c r="B899" s="8" t="s">
        <v>1139</v>
      </c>
      <c r="C899" s="9" t="s">
        <v>1140</v>
      </c>
      <c r="D899" s="8" t="s">
        <v>1141</v>
      </c>
      <c r="E899" s="8" t="s">
        <v>450</v>
      </c>
      <c r="F899" s="8" t="s">
        <v>456</v>
      </c>
      <c r="G899" s="8" t="s">
        <v>452</v>
      </c>
    </row>
    <row r="900" spans="1:7" ht="28" customHeight="1">
      <c r="A900" s="6">
        <v>723</v>
      </c>
      <c r="B900" s="6" t="s">
        <v>1139</v>
      </c>
      <c r="C900" s="7" t="s">
        <v>1140</v>
      </c>
      <c r="D900" s="6" t="s">
        <v>1142</v>
      </c>
      <c r="E900" s="6" t="s">
        <v>450</v>
      </c>
      <c r="F900" s="6" t="s">
        <v>456</v>
      </c>
      <c r="G900" s="6" t="s">
        <v>452</v>
      </c>
    </row>
    <row r="901" spans="1:7" ht="28" customHeight="1">
      <c r="A901" s="8">
        <v>724</v>
      </c>
      <c r="B901" s="8" t="s">
        <v>1139</v>
      </c>
      <c r="C901" s="9" t="s">
        <v>1140</v>
      </c>
      <c r="D901" s="8" t="s">
        <v>1143</v>
      </c>
      <c r="E901" s="8" t="s">
        <v>450</v>
      </c>
      <c r="F901" s="8" t="s">
        <v>552</v>
      </c>
      <c r="G901" s="8" t="s">
        <v>452</v>
      </c>
    </row>
    <row r="902" spans="1:7" ht="28" customHeight="1">
      <c r="A902" s="8">
        <v>724</v>
      </c>
      <c r="B902" s="8" t="s">
        <v>1139</v>
      </c>
      <c r="C902" s="9" t="s">
        <v>1140</v>
      </c>
      <c r="D902" s="8" t="s">
        <v>1144</v>
      </c>
      <c r="E902" s="8" t="s">
        <v>450</v>
      </c>
      <c r="F902" s="8" t="s">
        <v>515</v>
      </c>
      <c r="G902" s="8" t="s">
        <v>452</v>
      </c>
    </row>
    <row r="903" spans="1:7" ht="28" customHeight="1">
      <c r="A903" s="6">
        <v>725</v>
      </c>
      <c r="B903" s="6" t="s">
        <v>1139</v>
      </c>
      <c r="C903" s="7" t="s">
        <v>1140</v>
      </c>
      <c r="D903" s="6" t="s">
        <v>1145</v>
      </c>
      <c r="E903" s="6" t="s">
        <v>454</v>
      </c>
      <c r="F903" s="6" t="s">
        <v>455</v>
      </c>
      <c r="G903" s="6" t="s">
        <v>452</v>
      </c>
    </row>
    <row r="904" spans="1:7" ht="28" customHeight="1">
      <c r="A904" s="8">
        <v>726</v>
      </c>
      <c r="B904" s="8" t="s">
        <v>1139</v>
      </c>
      <c r="C904" s="9" t="s">
        <v>1140</v>
      </c>
      <c r="D904" s="8" t="s">
        <v>1146</v>
      </c>
      <c r="E904" s="8" t="s">
        <v>454</v>
      </c>
      <c r="F904" s="8" t="s">
        <v>455</v>
      </c>
      <c r="G904" s="8" t="s">
        <v>452</v>
      </c>
    </row>
    <row r="905" spans="1:7" ht="28" customHeight="1">
      <c r="A905" s="6">
        <v>727</v>
      </c>
      <c r="B905" s="6" t="s">
        <v>1139</v>
      </c>
      <c r="C905" s="7" t="s">
        <v>1140</v>
      </c>
      <c r="D905" s="6" t="s">
        <v>1147</v>
      </c>
      <c r="E905" s="6" t="s">
        <v>454</v>
      </c>
      <c r="F905" s="6" t="s">
        <v>465</v>
      </c>
      <c r="G905" s="6" t="s">
        <v>452</v>
      </c>
    </row>
    <row r="906" spans="1:7" ht="28" customHeight="1">
      <c r="A906" s="8">
        <v>728</v>
      </c>
      <c r="B906" s="8" t="s">
        <v>1139</v>
      </c>
      <c r="C906" s="9" t="s">
        <v>1140</v>
      </c>
      <c r="D906" s="8" t="s">
        <v>1148</v>
      </c>
      <c r="E906" s="8" t="s">
        <v>457</v>
      </c>
      <c r="F906" s="8" t="s">
        <v>455</v>
      </c>
      <c r="G906" s="8" t="s">
        <v>452</v>
      </c>
    </row>
    <row r="907" spans="1:7" ht="28" customHeight="1">
      <c r="A907" s="6">
        <v>729</v>
      </c>
      <c r="B907" s="6" t="s">
        <v>1139</v>
      </c>
      <c r="C907" s="7" t="s">
        <v>1140</v>
      </c>
      <c r="D907" s="6" t="s">
        <v>1149</v>
      </c>
      <c r="E907" s="6" t="s">
        <v>457</v>
      </c>
      <c r="F907" s="6" t="s">
        <v>455</v>
      </c>
      <c r="G907" s="6" t="s">
        <v>452</v>
      </c>
    </row>
    <row r="908" spans="1:7" ht="28" customHeight="1">
      <c r="A908" s="8">
        <v>730</v>
      </c>
      <c r="B908" s="8" t="s">
        <v>1139</v>
      </c>
      <c r="C908" s="9" t="s">
        <v>1140</v>
      </c>
      <c r="D908" s="8" t="s">
        <v>1150</v>
      </c>
      <c r="E908" s="8" t="s">
        <v>457</v>
      </c>
      <c r="F908" s="8" t="s">
        <v>494</v>
      </c>
      <c r="G908" s="8" t="s">
        <v>452</v>
      </c>
    </row>
    <row r="909" spans="1:7" ht="28" customHeight="1">
      <c r="A909" s="6">
        <v>731</v>
      </c>
      <c r="B909" s="6" t="s">
        <v>1139</v>
      </c>
      <c r="C909" s="7" t="s">
        <v>1140</v>
      </c>
      <c r="D909" s="6" t="s">
        <v>1151</v>
      </c>
      <c r="E909" s="6" t="s">
        <v>462</v>
      </c>
      <c r="F909" s="6" t="s">
        <v>456</v>
      </c>
      <c r="G909" s="6" t="s">
        <v>452</v>
      </c>
    </row>
    <row r="910" spans="1:7" ht="28" customHeight="1">
      <c r="A910" s="8">
        <v>732</v>
      </c>
      <c r="B910" s="8" t="s">
        <v>1139</v>
      </c>
      <c r="C910" s="9" t="s">
        <v>1140</v>
      </c>
      <c r="D910" s="8" t="s">
        <v>1152</v>
      </c>
      <c r="E910" s="8" t="s">
        <v>462</v>
      </c>
      <c r="F910" s="8" t="s">
        <v>456</v>
      </c>
      <c r="G910" s="8" t="s">
        <v>452</v>
      </c>
    </row>
    <row r="911" spans="1:7" ht="28" customHeight="1">
      <c r="A911" s="6">
        <v>733</v>
      </c>
      <c r="B911" s="6" t="s">
        <v>1139</v>
      </c>
      <c r="C911" s="7" t="s">
        <v>1140</v>
      </c>
      <c r="D911" s="6" t="s">
        <v>1153</v>
      </c>
      <c r="E911" s="6" t="s">
        <v>462</v>
      </c>
      <c r="F911" s="6" t="s">
        <v>456</v>
      </c>
      <c r="G911" s="6" t="s">
        <v>452</v>
      </c>
    </row>
    <row r="912" spans="1:7" ht="28" customHeight="1">
      <c r="A912" s="8">
        <v>734</v>
      </c>
      <c r="B912" s="8" t="s">
        <v>1139</v>
      </c>
      <c r="C912" s="9" t="s">
        <v>1140</v>
      </c>
      <c r="D912" s="8" t="s">
        <v>1154</v>
      </c>
      <c r="E912" s="8" t="s">
        <v>462</v>
      </c>
      <c r="F912" s="8" t="s">
        <v>455</v>
      </c>
      <c r="G912" s="8" t="s">
        <v>452</v>
      </c>
    </row>
    <row r="913" spans="1:7" ht="28" customHeight="1">
      <c r="A913" s="6">
        <v>735</v>
      </c>
      <c r="B913" s="6" t="s">
        <v>1139</v>
      </c>
      <c r="C913" s="7" t="s">
        <v>1140</v>
      </c>
      <c r="D913" s="6" t="s">
        <v>1155</v>
      </c>
      <c r="E913" s="6" t="s">
        <v>462</v>
      </c>
      <c r="F913" s="6" t="s">
        <v>455</v>
      </c>
      <c r="G913" s="6" t="s">
        <v>452</v>
      </c>
    </row>
    <row r="914" spans="1:7" ht="28" customHeight="1">
      <c r="A914" s="8">
        <v>736</v>
      </c>
      <c r="B914" s="8" t="s">
        <v>1139</v>
      </c>
      <c r="C914" s="9" t="s">
        <v>1140</v>
      </c>
      <c r="D914" s="8" t="s">
        <v>1156</v>
      </c>
      <c r="E914" s="8" t="s">
        <v>460</v>
      </c>
      <c r="F914" s="8" t="s">
        <v>455</v>
      </c>
      <c r="G914" s="8" t="s">
        <v>452</v>
      </c>
    </row>
    <row r="915" spans="1:7" ht="28" customHeight="1">
      <c r="A915" s="6">
        <v>737</v>
      </c>
      <c r="B915" s="6" t="s">
        <v>1139</v>
      </c>
      <c r="C915" s="7" t="s">
        <v>1140</v>
      </c>
      <c r="D915" s="6" t="s">
        <v>1157</v>
      </c>
      <c r="E915" s="6" t="s">
        <v>460</v>
      </c>
      <c r="F915" s="6" t="s">
        <v>471</v>
      </c>
      <c r="G915" s="6" t="s">
        <v>452</v>
      </c>
    </row>
    <row r="916" spans="1:7" ht="28" customHeight="1">
      <c r="A916" s="8">
        <v>738</v>
      </c>
      <c r="B916" s="8" t="s">
        <v>1139</v>
      </c>
      <c r="C916" s="9" t="s">
        <v>1140</v>
      </c>
      <c r="D916" s="8" t="s">
        <v>1158</v>
      </c>
      <c r="E916" s="8" t="s">
        <v>460</v>
      </c>
      <c r="F916" s="8" t="s">
        <v>471</v>
      </c>
      <c r="G916" s="8" t="s">
        <v>452</v>
      </c>
    </row>
    <row r="917" spans="1:7" ht="28" customHeight="1">
      <c r="A917" s="6">
        <v>739</v>
      </c>
      <c r="B917" s="6" t="s">
        <v>1139</v>
      </c>
      <c r="C917" s="7" t="s">
        <v>1140</v>
      </c>
      <c r="D917" s="6" t="s">
        <v>1159</v>
      </c>
      <c r="E917" s="6" t="s">
        <v>515</v>
      </c>
      <c r="F917" s="6" t="s">
        <v>455</v>
      </c>
      <c r="G917" s="6" t="s">
        <v>452</v>
      </c>
    </row>
    <row r="918" spans="1:7" ht="28" customHeight="1">
      <c r="A918" s="8">
        <v>740</v>
      </c>
      <c r="B918" s="8" t="s">
        <v>1139</v>
      </c>
      <c r="C918" s="9" t="s">
        <v>1140</v>
      </c>
      <c r="D918" s="8" t="s">
        <v>1160</v>
      </c>
      <c r="E918" s="8" t="s">
        <v>515</v>
      </c>
      <c r="F918" s="8" t="s">
        <v>485</v>
      </c>
      <c r="G918" s="8" t="s">
        <v>452</v>
      </c>
    </row>
    <row r="919" spans="1:7" ht="28" customHeight="1">
      <c r="A919" s="6">
        <v>741</v>
      </c>
      <c r="B919" s="6" t="s">
        <v>1139</v>
      </c>
      <c r="C919" s="7" t="s">
        <v>1140</v>
      </c>
      <c r="D919" s="6" t="s">
        <v>1161</v>
      </c>
      <c r="E919" s="6" t="s">
        <v>454</v>
      </c>
      <c r="F919" s="6" t="s">
        <v>456</v>
      </c>
      <c r="G919" s="6" t="s">
        <v>542</v>
      </c>
    </row>
    <row r="920" spans="1:7" ht="28" customHeight="1">
      <c r="A920" s="6">
        <v>741</v>
      </c>
      <c r="B920" s="6" t="s">
        <v>1139</v>
      </c>
      <c r="C920" s="7" t="s">
        <v>1140</v>
      </c>
      <c r="D920" s="6" t="s">
        <v>1162</v>
      </c>
      <c r="E920" s="6" t="s">
        <v>471</v>
      </c>
      <c r="F920" s="6" t="s">
        <v>456</v>
      </c>
      <c r="G920" s="6" t="s">
        <v>542</v>
      </c>
    </row>
    <row r="921" spans="1:7" ht="28" customHeight="1">
      <c r="A921" s="6">
        <v>741</v>
      </c>
      <c r="B921" s="6" t="s">
        <v>1139</v>
      </c>
      <c r="C921" s="7" t="s">
        <v>1140</v>
      </c>
      <c r="D921" s="6" t="s">
        <v>1163</v>
      </c>
      <c r="E921" s="6" t="s">
        <v>481</v>
      </c>
      <c r="F921" s="6" t="s">
        <v>456</v>
      </c>
      <c r="G921" s="6" t="s">
        <v>542</v>
      </c>
    </row>
    <row r="922" spans="1:7" ht="28" customHeight="1">
      <c r="A922" s="6">
        <v>741</v>
      </c>
      <c r="B922" s="6" t="s">
        <v>1139</v>
      </c>
      <c r="C922" s="7" t="s">
        <v>1140</v>
      </c>
      <c r="D922" s="6" t="s">
        <v>1164</v>
      </c>
      <c r="E922" s="6" t="s">
        <v>552</v>
      </c>
      <c r="F922" s="6" t="s">
        <v>456</v>
      </c>
      <c r="G922" s="6" t="s">
        <v>542</v>
      </c>
    </row>
    <row r="923" spans="1:7" ht="28" customHeight="1">
      <c r="A923" s="8">
        <v>742</v>
      </c>
      <c r="B923" s="8" t="s">
        <v>1139</v>
      </c>
      <c r="C923" s="9" t="s">
        <v>1140</v>
      </c>
      <c r="D923" s="8" t="s">
        <v>1165</v>
      </c>
      <c r="E923" s="8" t="s">
        <v>460</v>
      </c>
      <c r="F923" s="8" t="s">
        <v>494</v>
      </c>
      <c r="G923" s="8" t="s">
        <v>452</v>
      </c>
    </row>
    <row r="924" spans="1:7" ht="28" customHeight="1">
      <c r="A924" s="6">
        <v>743</v>
      </c>
      <c r="B924" s="6" t="s">
        <v>1139</v>
      </c>
      <c r="C924" s="7" t="s">
        <v>1140</v>
      </c>
      <c r="D924" s="6" t="s">
        <v>1166</v>
      </c>
      <c r="E924" s="6" t="s">
        <v>460</v>
      </c>
      <c r="F924" s="6" t="s">
        <v>494</v>
      </c>
      <c r="G924" s="6" t="s">
        <v>452</v>
      </c>
    </row>
    <row r="925" spans="1:7" ht="28" customHeight="1">
      <c r="A925" s="8">
        <v>744</v>
      </c>
      <c r="B925" s="8" t="s">
        <v>1139</v>
      </c>
      <c r="C925" s="9" t="s">
        <v>1140</v>
      </c>
      <c r="D925" s="8" t="s">
        <v>1167</v>
      </c>
      <c r="E925" s="8" t="s">
        <v>519</v>
      </c>
      <c r="F925" s="8" t="s">
        <v>455</v>
      </c>
      <c r="G925" s="8" t="s">
        <v>452</v>
      </c>
    </row>
    <row r="926" spans="1:7" ht="28" customHeight="1">
      <c r="A926" s="8">
        <v>744</v>
      </c>
      <c r="B926" s="8" t="s">
        <v>1139</v>
      </c>
      <c r="C926" s="9" t="s">
        <v>1140</v>
      </c>
      <c r="D926" s="8" t="s">
        <v>1168</v>
      </c>
      <c r="E926" s="8" t="s">
        <v>519</v>
      </c>
      <c r="F926" s="8" t="s">
        <v>455</v>
      </c>
      <c r="G926" s="8" t="s">
        <v>452</v>
      </c>
    </row>
    <row r="927" spans="1:7" ht="28" customHeight="1">
      <c r="A927" s="6">
        <v>745</v>
      </c>
      <c r="B927" s="6" t="s">
        <v>1139</v>
      </c>
      <c r="C927" s="7" t="s">
        <v>1140</v>
      </c>
      <c r="D927" s="6" t="s">
        <v>1169</v>
      </c>
      <c r="E927" s="6" t="s">
        <v>519</v>
      </c>
      <c r="F927" s="6" t="s">
        <v>455</v>
      </c>
      <c r="G927" s="6" t="s">
        <v>452</v>
      </c>
    </row>
    <row r="928" spans="1:7" ht="28" customHeight="1">
      <c r="A928" s="6">
        <v>745</v>
      </c>
      <c r="B928" s="6" t="s">
        <v>1139</v>
      </c>
      <c r="C928" s="7" t="s">
        <v>1140</v>
      </c>
      <c r="D928" s="6" t="s">
        <v>1170</v>
      </c>
      <c r="E928" s="6" t="s">
        <v>519</v>
      </c>
      <c r="F928" s="6" t="s">
        <v>455</v>
      </c>
      <c r="G928" s="6" t="s">
        <v>452</v>
      </c>
    </row>
    <row r="929" spans="1:7" ht="28" customHeight="1">
      <c r="A929" s="6">
        <v>745</v>
      </c>
      <c r="B929" s="6" t="s">
        <v>1139</v>
      </c>
      <c r="C929" s="7" t="s">
        <v>1140</v>
      </c>
      <c r="D929" s="6" t="s">
        <v>1171</v>
      </c>
      <c r="E929" s="6" t="s">
        <v>519</v>
      </c>
      <c r="F929" s="6" t="s">
        <v>455</v>
      </c>
      <c r="G929" s="6" t="s">
        <v>452</v>
      </c>
    </row>
    <row r="930" spans="1:7" ht="28" customHeight="1">
      <c r="A930" s="8">
        <v>746</v>
      </c>
      <c r="B930" s="8" t="s">
        <v>1139</v>
      </c>
      <c r="C930" s="9" t="s">
        <v>1140</v>
      </c>
      <c r="D930" s="8" t="s">
        <v>1172</v>
      </c>
      <c r="E930" s="8" t="s">
        <v>457</v>
      </c>
      <c r="F930" s="8" t="s">
        <v>455</v>
      </c>
      <c r="G930" s="8" t="s">
        <v>542</v>
      </c>
    </row>
    <row r="931" spans="1:7" ht="28" customHeight="1">
      <c r="A931" s="6">
        <v>747</v>
      </c>
      <c r="B931" s="6" t="s">
        <v>1139</v>
      </c>
      <c r="C931" s="7" t="s">
        <v>1140</v>
      </c>
      <c r="D931" s="6" t="s">
        <v>1173</v>
      </c>
      <c r="E931" s="6" t="s">
        <v>451</v>
      </c>
      <c r="F931" s="6" t="s">
        <v>457</v>
      </c>
      <c r="G931" s="6" t="s">
        <v>452</v>
      </c>
    </row>
    <row r="932" spans="1:7" ht="28" customHeight="1">
      <c r="A932" s="8">
        <v>748</v>
      </c>
      <c r="B932" s="8" t="s">
        <v>1139</v>
      </c>
      <c r="C932" s="9" t="s">
        <v>1140</v>
      </c>
      <c r="D932" s="8" t="s">
        <v>1174</v>
      </c>
      <c r="E932" s="8" t="s">
        <v>451</v>
      </c>
      <c r="F932" s="8" t="s">
        <v>457</v>
      </c>
      <c r="G932" s="8" t="s">
        <v>452</v>
      </c>
    </row>
    <row r="933" spans="1:7" ht="28" customHeight="1">
      <c r="A933" s="6">
        <v>749</v>
      </c>
      <c r="B933" s="6" t="s">
        <v>1139</v>
      </c>
      <c r="C933" s="7" t="s">
        <v>1140</v>
      </c>
      <c r="D933" s="6" t="s">
        <v>1175</v>
      </c>
      <c r="E933" s="6" t="s">
        <v>483</v>
      </c>
      <c r="F933" s="6" t="s">
        <v>455</v>
      </c>
      <c r="G933" s="6" t="s">
        <v>452</v>
      </c>
    </row>
    <row r="934" spans="1:7" ht="28" customHeight="1">
      <c r="A934" s="8">
        <v>750</v>
      </c>
      <c r="B934" s="8" t="s">
        <v>1139</v>
      </c>
      <c r="C934" s="9" t="s">
        <v>1140</v>
      </c>
      <c r="D934" s="8" t="s">
        <v>1176</v>
      </c>
      <c r="E934" s="8" t="s">
        <v>483</v>
      </c>
      <c r="F934" s="8" t="s">
        <v>455</v>
      </c>
      <c r="G934" s="8" t="s">
        <v>452</v>
      </c>
    </row>
    <row r="935" spans="1:7" ht="28" customHeight="1">
      <c r="A935" s="6">
        <v>751</v>
      </c>
      <c r="B935" s="6" t="s">
        <v>1139</v>
      </c>
      <c r="C935" s="7" t="s">
        <v>1140</v>
      </c>
      <c r="D935" s="6" t="s">
        <v>1177</v>
      </c>
      <c r="E935" s="6" t="s">
        <v>457</v>
      </c>
      <c r="F935" s="6" t="s">
        <v>460</v>
      </c>
      <c r="G935" s="6" t="s">
        <v>452</v>
      </c>
    </row>
    <row r="936" spans="1:7" ht="28" customHeight="1">
      <c r="A936" s="8">
        <v>752</v>
      </c>
      <c r="B936" s="8" t="s">
        <v>1139</v>
      </c>
      <c r="C936" s="9" t="s">
        <v>1140</v>
      </c>
      <c r="D936" s="8" t="s">
        <v>1178</v>
      </c>
      <c r="E936" s="8" t="s">
        <v>457</v>
      </c>
      <c r="F936" s="8" t="s">
        <v>460</v>
      </c>
      <c r="G936" s="8" t="s">
        <v>452</v>
      </c>
    </row>
    <row r="937" spans="1:7" ht="28" customHeight="1">
      <c r="A937" s="6">
        <v>753</v>
      </c>
      <c r="B937" s="6" t="s">
        <v>1139</v>
      </c>
      <c r="C937" s="7" t="s">
        <v>1140</v>
      </c>
      <c r="D937" s="6" t="s">
        <v>1179</v>
      </c>
      <c r="E937" s="6" t="s">
        <v>450</v>
      </c>
      <c r="F937" s="6" t="s">
        <v>455</v>
      </c>
      <c r="G937" s="6" t="s">
        <v>452</v>
      </c>
    </row>
    <row r="938" spans="1:7" ht="28" customHeight="1">
      <c r="A938" s="8">
        <v>754</v>
      </c>
      <c r="B938" s="8" t="s">
        <v>1139</v>
      </c>
      <c r="C938" s="9" t="s">
        <v>1140</v>
      </c>
      <c r="D938" s="8" t="s">
        <v>1180</v>
      </c>
      <c r="E938" s="8" t="s">
        <v>450</v>
      </c>
      <c r="F938" s="8" t="s">
        <v>455</v>
      </c>
      <c r="G938" s="8" t="s">
        <v>452</v>
      </c>
    </row>
    <row r="939" spans="1:7" ht="28" customHeight="1">
      <c r="A939" s="6">
        <v>755</v>
      </c>
      <c r="B939" s="6" t="s">
        <v>1139</v>
      </c>
      <c r="C939" s="7" t="s">
        <v>1140</v>
      </c>
      <c r="D939" s="6" t="s">
        <v>1181</v>
      </c>
      <c r="E939" s="6" t="s">
        <v>450</v>
      </c>
      <c r="F939" s="6" t="s">
        <v>494</v>
      </c>
      <c r="G939" s="6" t="s">
        <v>452</v>
      </c>
    </row>
    <row r="940" spans="1:7" ht="28" customHeight="1">
      <c r="A940" s="8">
        <v>756</v>
      </c>
      <c r="B940" s="8" t="s">
        <v>1139</v>
      </c>
      <c r="C940" s="9" t="s">
        <v>1140</v>
      </c>
      <c r="D940" s="8" t="s">
        <v>1182</v>
      </c>
      <c r="E940" s="8" t="s">
        <v>450</v>
      </c>
      <c r="F940" s="8" t="s">
        <v>494</v>
      </c>
      <c r="G940" s="8" t="s">
        <v>452</v>
      </c>
    </row>
    <row r="941" spans="1:7" ht="28" customHeight="1">
      <c r="A941" s="6">
        <v>757</v>
      </c>
      <c r="B941" s="6" t="s">
        <v>1139</v>
      </c>
      <c r="C941" s="7" t="s">
        <v>1140</v>
      </c>
      <c r="D941" s="6" t="s">
        <v>1183</v>
      </c>
      <c r="E941" s="6" t="s">
        <v>451</v>
      </c>
      <c r="F941" s="6" t="s">
        <v>454</v>
      </c>
      <c r="G941" s="6" t="s">
        <v>452</v>
      </c>
    </row>
    <row r="942" spans="1:7" ht="28" customHeight="1">
      <c r="A942" s="8">
        <v>758</v>
      </c>
      <c r="B942" s="8" t="s">
        <v>1139</v>
      </c>
      <c r="C942" s="9" t="s">
        <v>1140</v>
      </c>
      <c r="D942" s="8" t="s">
        <v>1184</v>
      </c>
      <c r="E942" s="8" t="s">
        <v>451</v>
      </c>
      <c r="F942" s="8" t="s">
        <v>454</v>
      </c>
      <c r="G942" s="8" t="s">
        <v>452</v>
      </c>
    </row>
    <row r="943" spans="1:7" ht="28" customHeight="1">
      <c r="A943" s="6">
        <v>759</v>
      </c>
      <c r="B943" s="6" t="s">
        <v>1139</v>
      </c>
      <c r="C943" s="7" t="s">
        <v>1140</v>
      </c>
      <c r="D943" s="6" t="s">
        <v>1185</v>
      </c>
      <c r="E943" s="6" t="s">
        <v>462</v>
      </c>
      <c r="F943" s="6" t="s">
        <v>515</v>
      </c>
      <c r="G943" s="6" t="s">
        <v>452</v>
      </c>
    </row>
    <row r="944" spans="1:7" ht="28" customHeight="1">
      <c r="A944" s="8">
        <v>760</v>
      </c>
      <c r="B944" s="8" t="s">
        <v>1139</v>
      </c>
      <c r="C944" s="9" t="s">
        <v>1140</v>
      </c>
      <c r="D944" s="8" t="s">
        <v>1186</v>
      </c>
      <c r="E944" s="8" t="s">
        <v>462</v>
      </c>
      <c r="F944" s="8" t="s">
        <v>515</v>
      </c>
      <c r="G944" s="8" t="s">
        <v>452</v>
      </c>
    </row>
    <row r="945" spans="1:7" ht="28" customHeight="1">
      <c r="A945" s="6">
        <v>761</v>
      </c>
      <c r="B945" s="6" t="s">
        <v>1139</v>
      </c>
      <c r="C945" s="7" t="s">
        <v>1140</v>
      </c>
      <c r="D945" s="6" t="s">
        <v>1187</v>
      </c>
      <c r="E945" s="6" t="s">
        <v>450</v>
      </c>
      <c r="F945" s="6" t="s">
        <v>455</v>
      </c>
      <c r="G945" s="6" t="s">
        <v>452</v>
      </c>
    </row>
    <row r="946" spans="1:7" ht="28" customHeight="1">
      <c r="A946" s="8">
        <v>762</v>
      </c>
      <c r="B946" s="8" t="s">
        <v>1139</v>
      </c>
      <c r="C946" s="9" t="s">
        <v>1140</v>
      </c>
      <c r="D946" s="8" t="s">
        <v>1188</v>
      </c>
      <c r="E946" s="8" t="s">
        <v>450</v>
      </c>
      <c r="F946" s="8" t="s">
        <v>455</v>
      </c>
      <c r="G946" s="8" t="s">
        <v>452</v>
      </c>
    </row>
    <row r="947" spans="1:7" ht="28" customHeight="1">
      <c r="A947" s="6">
        <v>763</v>
      </c>
      <c r="B947" s="6" t="s">
        <v>1139</v>
      </c>
      <c r="C947" s="7" t="s">
        <v>1140</v>
      </c>
      <c r="D947" s="6" t="s">
        <v>1189</v>
      </c>
      <c r="E947" s="6" t="s">
        <v>450</v>
      </c>
      <c r="F947" s="6" t="s">
        <v>455</v>
      </c>
      <c r="G947" s="6" t="s">
        <v>452</v>
      </c>
    </row>
    <row r="948" spans="1:7" ht="28" customHeight="1">
      <c r="A948" s="8">
        <v>764</v>
      </c>
      <c r="B948" s="8" t="s">
        <v>1139</v>
      </c>
      <c r="C948" s="9" t="s">
        <v>1140</v>
      </c>
      <c r="D948" s="8" t="s">
        <v>1190</v>
      </c>
      <c r="E948" s="8" t="s">
        <v>494</v>
      </c>
      <c r="F948" s="8" t="s">
        <v>455</v>
      </c>
      <c r="G948" s="8" t="s">
        <v>542</v>
      </c>
    </row>
    <row r="949" spans="1:7" ht="28" customHeight="1">
      <c r="A949" s="6">
        <v>765</v>
      </c>
      <c r="B949" s="6" t="s">
        <v>1139</v>
      </c>
      <c r="C949" s="7" t="s">
        <v>1140</v>
      </c>
      <c r="D949" s="6" t="s">
        <v>1191</v>
      </c>
      <c r="E949" s="6" t="s">
        <v>462</v>
      </c>
      <c r="F949" s="6" t="s">
        <v>481</v>
      </c>
      <c r="G949" s="6" t="s">
        <v>542</v>
      </c>
    </row>
    <row r="950" spans="1:7" ht="28" customHeight="1">
      <c r="A950" s="8">
        <v>766</v>
      </c>
      <c r="B950" s="8" t="s">
        <v>1139</v>
      </c>
      <c r="C950" s="9" t="s">
        <v>1140</v>
      </c>
      <c r="D950" s="8" t="s">
        <v>1192</v>
      </c>
      <c r="E950" s="8" t="s">
        <v>515</v>
      </c>
      <c r="F950" s="8" t="s">
        <v>455</v>
      </c>
      <c r="G950" s="8" t="s">
        <v>542</v>
      </c>
    </row>
    <row r="951" spans="1:7" ht="28" customHeight="1">
      <c r="A951" s="6">
        <v>767</v>
      </c>
      <c r="B951" s="6" t="s">
        <v>1139</v>
      </c>
      <c r="C951" s="7" t="s">
        <v>1140</v>
      </c>
      <c r="D951" s="6" t="s">
        <v>1193</v>
      </c>
      <c r="E951" s="6" t="s">
        <v>460</v>
      </c>
      <c r="F951" s="6" t="s">
        <v>457</v>
      </c>
      <c r="G951" s="6" t="s">
        <v>452</v>
      </c>
    </row>
    <row r="952" spans="1:7" ht="28" customHeight="1">
      <c r="A952" s="8">
        <v>768</v>
      </c>
      <c r="B952" s="8" t="s">
        <v>1139</v>
      </c>
      <c r="C952" s="9" t="s">
        <v>1140</v>
      </c>
      <c r="D952" s="8" t="s">
        <v>1194</v>
      </c>
      <c r="E952" s="8" t="s">
        <v>460</v>
      </c>
      <c r="F952" s="8" t="s">
        <v>457</v>
      </c>
      <c r="G952" s="8" t="s">
        <v>452</v>
      </c>
    </row>
    <row r="953" spans="1:7" ht="28" customHeight="1">
      <c r="A953" s="6">
        <v>769</v>
      </c>
      <c r="B953" s="6" t="s">
        <v>1139</v>
      </c>
      <c r="C953" s="7" t="s">
        <v>1140</v>
      </c>
      <c r="D953" s="6" t="s">
        <v>1195</v>
      </c>
      <c r="E953" s="6" t="s">
        <v>552</v>
      </c>
      <c r="F953" s="6" t="s">
        <v>483</v>
      </c>
      <c r="G953" s="6" t="s">
        <v>452</v>
      </c>
    </row>
    <row r="954" spans="1:7" ht="28" customHeight="1">
      <c r="A954" s="8">
        <v>770</v>
      </c>
      <c r="B954" s="8" t="s">
        <v>1139</v>
      </c>
      <c r="C954" s="9" t="s">
        <v>1140</v>
      </c>
      <c r="D954" s="8" t="s">
        <v>1196</v>
      </c>
      <c r="E954" s="8" t="s">
        <v>552</v>
      </c>
      <c r="F954" s="8" t="s">
        <v>483</v>
      </c>
      <c r="G954" s="8" t="s">
        <v>452</v>
      </c>
    </row>
    <row r="955" spans="1:7" ht="28" customHeight="1">
      <c r="A955" s="6">
        <v>771</v>
      </c>
      <c r="B955" s="6" t="s">
        <v>1139</v>
      </c>
      <c r="C955" s="7" t="s">
        <v>1140</v>
      </c>
      <c r="D955" s="6" t="s">
        <v>1197</v>
      </c>
      <c r="E955" s="6" t="s">
        <v>457</v>
      </c>
      <c r="F955" s="6" t="s">
        <v>455</v>
      </c>
      <c r="G955" s="6" t="s">
        <v>542</v>
      </c>
    </row>
    <row r="956" spans="1:7" ht="28" customHeight="1">
      <c r="A956" s="8">
        <v>772</v>
      </c>
      <c r="B956" s="8" t="s">
        <v>1139</v>
      </c>
      <c r="C956" s="9" t="s">
        <v>1140</v>
      </c>
      <c r="D956" s="8" t="s">
        <v>1198</v>
      </c>
      <c r="E956" s="8" t="s">
        <v>462</v>
      </c>
      <c r="F956" s="8" t="s">
        <v>455</v>
      </c>
      <c r="G956" s="8" t="s">
        <v>452</v>
      </c>
    </row>
    <row r="957" spans="1:7" ht="28" customHeight="1">
      <c r="A957" s="6">
        <v>773</v>
      </c>
      <c r="B957" s="6" t="s">
        <v>1139</v>
      </c>
      <c r="C957" s="7" t="s">
        <v>1140</v>
      </c>
      <c r="D957" s="6" t="s">
        <v>1199</v>
      </c>
      <c r="E957" s="6" t="s">
        <v>462</v>
      </c>
      <c r="F957" s="6" t="s">
        <v>455</v>
      </c>
      <c r="G957" s="6" t="s">
        <v>452</v>
      </c>
    </row>
    <row r="958" spans="1:7" ht="28" customHeight="1">
      <c r="A958" s="8">
        <v>774</v>
      </c>
      <c r="B958" s="8" t="s">
        <v>1139</v>
      </c>
      <c r="C958" s="9" t="s">
        <v>1140</v>
      </c>
      <c r="D958" s="8" t="s">
        <v>1200</v>
      </c>
      <c r="E958" s="8" t="s">
        <v>519</v>
      </c>
      <c r="F958" s="8" t="s">
        <v>456</v>
      </c>
      <c r="G958" s="8" t="s">
        <v>542</v>
      </c>
    </row>
    <row r="959" spans="1:7" ht="28" customHeight="1">
      <c r="A959" s="8">
        <v>774</v>
      </c>
      <c r="B959" s="8" t="s">
        <v>1139</v>
      </c>
      <c r="C959" s="9" t="s">
        <v>1140</v>
      </c>
      <c r="D959" s="8" t="s">
        <v>1201</v>
      </c>
      <c r="E959" s="8" t="s">
        <v>519</v>
      </c>
      <c r="F959" s="8" t="s">
        <v>456</v>
      </c>
      <c r="G959" s="8" t="s">
        <v>542</v>
      </c>
    </row>
    <row r="960" spans="1:7" ht="28" customHeight="1">
      <c r="A960" s="8">
        <v>774</v>
      </c>
      <c r="B960" s="8" t="s">
        <v>1139</v>
      </c>
      <c r="C960" s="9" t="s">
        <v>1140</v>
      </c>
      <c r="D960" s="8" t="s">
        <v>1202</v>
      </c>
      <c r="E960" s="8" t="s">
        <v>519</v>
      </c>
      <c r="F960" s="8" t="s">
        <v>456</v>
      </c>
      <c r="G960" s="8" t="s">
        <v>542</v>
      </c>
    </row>
    <row r="961" spans="1:7" ht="28" customHeight="1">
      <c r="A961" s="8">
        <v>774</v>
      </c>
      <c r="B961" s="8" t="s">
        <v>1139</v>
      </c>
      <c r="C961" s="9" t="s">
        <v>1140</v>
      </c>
      <c r="D961" s="8" t="s">
        <v>1203</v>
      </c>
      <c r="E961" s="8" t="s">
        <v>519</v>
      </c>
      <c r="F961" s="8" t="s">
        <v>456</v>
      </c>
      <c r="G961" s="8" t="s">
        <v>542</v>
      </c>
    </row>
    <row r="962" spans="1:7" ht="28" customHeight="1">
      <c r="A962" s="8">
        <v>774</v>
      </c>
      <c r="B962" s="8" t="s">
        <v>1139</v>
      </c>
      <c r="C962" s="9" t="s">
        <v>1140</v>
      </c>
      <c r="D962" s="8" t="s">
        <v>1204</v>
      </c>
      <c r="E962" s="8" t="s">
        <v>519</v>
      </c>
      <c r="F962" s="8" t="s">
        <v>456</v>
      </c>
      <c r="G962" s="8" t="s">
        <v>542</v>
      </c>
    </row>
    <row r="963" spans="1:7" ht="28" customHeight="1">
      <c r="A963" s="8">
        <v>774</v>
      </c>
      <c r="B963" s="8" t="s">
        <v>1139</v>
      </c>
      <c r="C963" s="9" t="s">
        <v>1140</v>
      </c>
      <c r="D963" s="8" t="s">
        <v>1205</v>
      </c>
      <c r="E963" s="8" t="s">
        <v>519</v>
      </c>
      <c r="F963" s="8" t="s">
        <v>456</v>
      </c>
      <c r="G963" s="8" t="s">
        <v>542</v>
      </c>
    </row>
    <row r="964" spans="1:7" ht="28" customHeight="1">
      <c r="A964" s="8">
        <v>774</v>
      </c>
      <c r="B964" s="8" t="s">
        <v>1139</v>
      </c>
      <c r="C964" s="9" t="s">
        <v>1140</v>
      </c>
      <c r="D964" s="8" t="s">
        <v>1206</v>
      </c>
      <c r="E964" s="8" t="s">
        <v>519</v>
      </c>
      <c r="F964" s="8" t="s">
        <v>456</v>
      </c>
      <c r="G964" s="8" t="s">
        <v>542</v>
      </c>
    </row>
    <row r="965" spans="1:7" ht="28" customHeight="1">
      <c r="A965" s="6">
        <v>775</v>
      </c>
      <c r="B965" s="6" t="s">
        <v>1139</v>
      </c>
      <c r="C965" s="7" t="s">
        <v>1140</v>
      </c>
      <c r="D965" s="6" t="s">
        <v>1207</v>
      </c>
      <c r="E965" s="6" t="s">
        <v>462</v>
      </c>
      <c r="F965" s="6" t="s">
        <v>455</v>
      </c>
      <c r="G965" s="6" t="s">
        <v>542</v>
      </c>
    </row>
    <row r="966" spans="1:7" ht="28" customHeight="1">
      <c r="A966" s="8">
        <v>776</v>
      </c>
      <c r="B966" s="8" t="s">
        <v>1139</v>
      </c>
      <c r="C966" s="9" t="s">
        <v>1140</v>
      </c>
      <c r="D966" s="8" t="s">
        <v>1208</v>
      </c>
      <c r="E966" s="8" t="s">
        <v>454</v>
      </c>
      <c r="F966" s="8" t="s">
        <v>561</v>
      </c>
      <c r="G966" s="8" t="s">
        <v>542</v>
      </c>
    </row>
    <row r="967" spans="1:7" ht="28" customHeight="1">
      <c r="A967" s="6">
        <v>777</v>
      </c>
      <c r="B967" s="6" t="s">
        <v>1139</v>
      </c>
      <c r="C967" s="7" t="s">
        <v>1140</v>
      </c>
      <c r="D967" s="6" t="s">
        <v>1209</v>
      </c>
      <c r="E967" s="6" t="s">
        <v>471</v>
      </c>
      <c r="F967" s="6" t="s">
        <v>486</v>
      </c>
      <c r="G967" s="6" t="s">
        <v>542</v>
      </c>
    </row>
    <row r="968" spans="1:7" ht="28" customHeight="1">
      <c r="A968" s="8">
        <v>778</v>
      </c>
      <c r="B968" s="8" t="s">
        <v>1139</v>
      </c>
      <c r="C968" s="9" t="s">
        <v>1140</v>
      </c>
      <c r="D968" s="8" t="s">
        <v>1210</v>
      </c>
      <c r="E968" s="8" t="s">
        <v>552</v>
      </c>
      <c r="F968" s="8" t="s">
        <v>494</v>
      </c>
      <c r="G968" s="8" t="s">
        <v>542</v>
      </c>
    </row>
    <row r="969" spans="1:7" ht="28" customHeight="1">
      <c r="A969" s="6">
        <v>779</v>
      </c>
      <c r="B969" s="6" t="s">
        <v>1139</v>
      </c>
      <c r="C969" s="7" t="s">
        <v>1140</v>
      </c>
      <c r="D969" s="6" t="s">
        <v>1211</v>
      </c>
      <c r="E969" s="6" t="s">
        <v>457</v>
      </c>
      <c r="F969" s="6" t="s">
        <v>481</v>
      </c>
      <c r="G969" s="6" t="s">
        <v>542</v>
      </c>
    </row>
    <row r="970" spans="1:7" ht="28" customHeight="1">
      <c r="A970" s="8">
        <v>780</v>
      </c>
      <c r="B970" s="8" t="s">
        <v>1139</v>
      </c>
      <c r="C970" s="9" t="s">
        <v>1140</v>
      </c>
      <c r="D970" s="8" t="s">
        <v>1212</v>
      </c>
      <c r="E970" s="8" t="s">
        <v>462</v>
      </c>
      <c r="F970" s="8" t="s">
        <v>561</v>
      </c>
      <c r="G970" s="8" t="s">
        <v>542</v>
      </c>
    </row>
    <row r="971" spans="1:7" ht="28" customHeight="1">
      <c r="A971" s="6">
        <v>781</v>
      </c>
      <c r="B971" s="6" t="s">
        <v>1139</v>
      </c>
      <c r="C971" s="7" t="s">
        <v>1140</v>
      </c>
      <c r="D971" s="6" t="s">
        <v>1213</v>
      </c>
      <c r="E971" s="6" t="s">
        <v>552</v>
      </c>
      <c r="F971" s="6" t="s">
        <v>450</v>
      </c>
      <c r="G971" s="6" t="s">
        <v>542</v>
      </c>
    </row>
    <row r="972" spans="1:7" ht="28" customHeight="1">
      <c r="A972" s="8">
        <v>782</v>
      </c>
      <c r="B972" s="8" t="s">
        <v>1139</v>
      </c>
      <c r="C972" s="9" t="s">
        <v>1140</v>
      </c>
      <c r="D972" s="8" t="s">
        <v>1214</v>
      </c>
      <c r="E972" s="8" t="s">
        <v>561</v>
      </c>
      <c r="F972" s="8" t="s">
        <v>455</v>
      </c>
      <c r="G972" s="8" t="s">
        <v>452</v>
      </c>
    </row>
    <row r="973" spans="1:7" ht="28" customHeight="1">
      <c r="A973" s="6">
        <v>783</v>
      </c>
      <c r="B973" s="6" t="s">
        <v>1139</v>
      </c>
      <c r="C973" s="7" t="s">
        <v>1140</v>
      </c>
      <c r="D973" s="6" t="s">
        <v>1215</v>
      </c>
      <c r="E973" s="6" t="s">
        <v>561</v>
      </c>
      <c r="F973" s="6" t="s">
        <v>515</v>
      </c>
      <c r="G973" s="6" t="s">
        <v>452</v>
      </c>
    </row>
    <row r="974" spans="1:7" ht="28" customHeight="1">
      <c r="A974" s="8">
        <v>784</v>
      </c>
      <c r="B974" s="8" t="s">
        <v>1139</v>
      </c>
      <c r="C974" s="9" t="s">
        <v>1140</v>
      </c>
      <c r="D974" s="8" t="s">
        <v>1216</v>
      </c>
      <c r="E974" s="8" t="s">
        <v>561</v>
      </c>
      <c r="F974" s="8" t="s">
        <v>515</v>
      </c>
      <c r="G974" s="8" t="s">
        <v>452</v>
      </c>
    </row>
    <row r="975" spans="1:7" ht="28" customHeight="1">
      <c r="A975" s="6">
        <v>785</v>
      </c>
      <c r="B975" s="6" t="s">
        <v>1139</v>
      </c>
      <c r="C975" s="7" t="s">
        <v>1140</v>
      </c>
      <c r="D975" s="6" t="s">
        <v>1217</v>
      </c>
      <c r="E975" s="6" t="s">
        <v>471</v>
      </c>
      <c r="F975" s="6" t="s">
        <v>494</v>
      </c>
      <c r="G975" s="6" t="s">
        <v>542</v>
      </c>
    </row>
    <row r="976" spans="1:7" ht="28" customHeight="1">
      <c r="A976" s="8">
        <v>786</v>
      </c>
      <c r="B976" s="8" t="s">
        <v>1139</v>
      </c>
      <c r="C976" s="9" t="s">
        <v>1140</v>
      </c>
      <c r="D976" s="8" t="s">
        <v>1218</v>
      </c>
      <c r="E976" s="8" t="s">
        <v>481</v>
      </c>
      <c r="F976" s="8" t="s">
        <v>494</v>
      </c>
      <c r="G976" s="8" t="s">
        <v>542</v>
      </c>
    </row>
    <row r="977" spans="1:7" ht="28" customHeight="1">
      <c r="A977" s="6">
        <v>787</v>
      </c>
      <c r="B977" s="6" t="s">
        <v>1139</v>
      </c>
      <c r="C977" s="7" t="s">
        <v>1140</v>
      </c>
      <c r="D977" s="6" t="s">
        <v>1219</v>
      </c>
      <c r="E977" s="6" t="s">
        <v>450</v>
      </c>
      <c r="F977" s="6" t="s">
        <v>494</v>
      </c>
      <c r="G977" s="6" t="s">
        <v>542</v>
      </c>
    </row>
    <row r="978" spans="1:7" ht="28" customHeight="1">
      <c r="A978" s="8">
        <v>788</v>
      </c>
      <c r="B978" s="8" t="s">
        <v>1139</v>
      </c>
      <c r="C978" s="9" t="s">
        <v>1140</v>
      </c>
      <c r="D978" s="8" t="s">
        <v>1220</v>
      </c>
      <c r="E978" s="8" t="s">
        <v>457</v>
      </c>
      <c r="F978" s="8" t="s">
        <v>494</v>
      </c>
      <c r="G978" s="8" t="s">
        <v>542</v>
      </c>
    </row>
    <row r="979" spans="1:7" ht="28" customHeight="1">
      <c r="A979" s="6">
        <v>789</v>
      </c>
      <c r="B979" s="6" t="s">
        <v>1139</v>
      </c>
      <c r="C979" s="7" t="s">
        <v>1140</v>
      </c>
      <c r="D979" s="6" t="s">
        <v>1221</v>
      </c>
      <c r="E979" s="6" t="s">
        <v>481</v>
      </c>
      <c r="F979" s="6" t="s">
        <v>455</v>
      </c>
      <c r="G979" s="6" t="s">
        <v>452</v>
      </c>
    </row>
    <row r="980" spans="1:7" ht="28" customHeight="1">
      <c r="A980" s="8">
        <v>790</v>
      </c>
      <c r="B980" s="8" t="s">
        <v>1139</v>
      </c>
      <c r="C980" s="9" t="s">
        <v>1140</v>
      </c>
      <c r="D980" s="8" t="s">
        <v>1222</v>
      </c>
      <c r="E980" s="8" t="s">
        <v>481</v>
      </c>
      <c r="F980" s="8" t="s">
        <v>455</v>
      </c>
      <c r="G980" s="8" t="s">
        <v>452</v>
      </c>
    </row>
    <row r="981" spans="1:7" ht="28" customHeight="1">
      <c r="A981" s="6">
        <v>791</v>
      </c>
      <c r="B981" s="6" t="s">
        <v>1139</v>
      </c>
      <c r="C981" s="7" t="s">
        <v>1140</v>
      </c>
      <c r="D981" s="6" t="s">
        <v>1223</v>
      </c>
      <c r="E981" s="13" t="s">
        <v>481</v>
      </c>
      <c r="F981" s="6" t="s">
        <v>486</v>
      </c>
      <c r="G981" s="6" t="s">
        <v>452</v>
      </c>
    </row>
    <row r="982" spans="1:7" ht="28" customHeight="1">
      <c r="A982" s="8">
        <v>792</v>
      </c>
      <c r="B982" s="8" t="s">
        <v>1139</v>
      </c>
      <c r="C982" s="9" t="s">
        <v>1140</v>
      </c>
      <c r="D982" s="8" t="s">
        <v>1224</v>
      </c>
      <c r="E982" s="10" t="s">
        <v>481</v>
      </c>
      <c r="F982" s="8" t="s">
        <v>552</v>
      </c>
      <c r="G982" s="8" t="s">
        <v>452</v>
      </c>
    </row>
    <row r="983" spans="1:7" ht="28" customHeight="1">
      <c r="A983" s="6">
        <v>793</v>
      </c>
      <c r="B983" s="6" t="s">
        <v>1139</v>
      </c>
      <c r="C983" s="7" t="s">
        <v>1140</v>
      </c>
      <c r="D983" s="6" t="s">
        <v>1225</v>
      </c>
      <c r="E983" s="13" t="s">
        <v>519</v>
      </c>
      <c r="F983" s="6" t="s">
        <v>451</v>
      </c>
      <c r="G983" s="6" t="s">
        <v>542</v>
      </c>
    </row>
    <row r="984" spans="1:7" ht="28" customHeight="1">
      <c r="A984" s="8">
        <v>794</v>
      </c>
      <c r="B984" s="8" t="s">
        <v>1139</v>
      </c>
      <c r="C984" s="9" t="s">
        <v>1140</v>
      </c>
      <c r="D984" s="8" t="s">
        <v>1226</v>
      </c>
      <c r="E984" s="10" t="s">
        <v>460</v>
      </c>
      <c r="F984" s="8" t="s">
        <v>515</v>
      </c>
      <c r="G984" s="8" t="s">
        <v>542</v>
      </c>
    </row>
    <row r="985" spans="1:7" ht="28" customHeight="1">
      <c r="A985" s="6">
        <v>795</v>
      </c>
      <c r="B985" s="6" t="s">
        <v>1139</v>
      </c>
      <c r="C985" s="7" t="s">
        <v>1140</v>
      </c>
      <c r="D985" s="6" t="s">
        <v>1227</v>
      </c>
      <c r="E985" s="13" t="s">
        <v>460</v>
      </c>
      <c r="F985" s="6" t="s">
        <v>515</v>
      </c>
      <c r="G985" s="6" t="s">
        <v>542</v>
      </c>
    </row>
    <row r="986" spans="1:7" ht="28" customHeight="1">
      <c r="A986" s="8">
        <v>796</v>
      </c>
      <c r="B986" s="8" t="s">
        <v>1139</v>
      </c>
      <c r="C986" s="9" t="s">
        <v>1140</v>
      </c>
      <c r="D986" s="8" t="s">
        <v>1228</v>
      </c>
      <c r="E986" s="8" t="s">
        <v>471</v>
      </c>
      <c r="F986" s="8" t="s">
        <v>455</v>
      </c>
      <c r="G986" s="8" t="s">
        <v>542</v>
      </c>
    </row>
    <row r="987" spans="1:7" ht="28" customHeight="1">
      <c r="A987" s="6">
        <v>797</v>
      </c>
      <c r="B987" s="6" t="s">
        <v>1139</v>
      </c>
      <c r="C987" s="7" t="s">
        <v>1140</v>
      </c>
      <c r="D987" s="6" t="s">
        <v>1229</v>
      </c>
      <c r="E987" s="13" t="s">
        <v>486</v>
      </c>
      <c r="F987" s="6" t="s">
        <v>456</v>
      </c>
      <c r="G987" s="6" t="s">
        <v>542</v>
      </c>
    </row>
    <row r="988" spans="1:7" ht="28" customHeight="1">
      <c r="A988" s="8">
        <v>798</v>
      </c>
      <c r="B988" s="8" t="s">
        <v>1139</v>
      </c>
      <c r="C988" s="9" t="s">
        <v>1140</v>
      </c>
      <c r="D988" s="8" t="s">
        <v>1230</v>
      </c>
      <c r="E988" s="10" t="s">
        <v>450</v>
      </c>
      <c r="F988" s="8" t="s">
        <v>486</v>
      </c>
      <c r="G988" s="8" t="s">
        <v>542</v>
      </c>
    </row>
    <row r="989" spans="1:7" ht="28" customHeight="1">
      <c r="A989" s="6">
        <v>799</v>
      </c>
      <c r="B989" s="6" t="s">
        <v>1139</v>
      </c>
      <c r="C989" s="7" t="s">
        <v>1140</v>
      </c>
      <c r="D989" s="6" t="s">
        <v>1231</v>
      </c>
      <c r="E989" s="13" t="s">
        <v>465</v>
      </c>
      <c r="F989" s="6" t="s">
        <v>561</v>
      </c>
      <c r="G989" s="6" t="s">
        <v>542</v>
      </c>
    </row>
    <row r="990" spans="1:7" ht="28" customHeight="1">
      <c r="A990" s="8">
        <v>800</v>
      </c>
      <c r="B990" s="8" t="s">
        <v>1139</v>
      </c>
      <c r="C990" s="9" t="s">
        <v>1140</v>
      </c>
      <c r="D990" s="8" t="s">
        <v>1232</v>
      </c>
      <c r="E990" s="8" t="s">
        <v>481</v>
      </c>
      <c r="F990" s="8" t="s">
        <v>455</v>
      </c>
      <c r="G990" s="8" t="s">
        <v>542</v>
      </c>
    </row>
    <row r="991" spans="1:7" ht="28" customHeight="1">
      <c r="A991" s="6">
        <v>801</v>
      </c>
      <c r="B991" s="6" t="s">
        <v>1139</v>
      </c>
      <c r="C991" s="7" t="s">
        <v>1140</v>
      </c>
      <c r="D991" s="6" t="s">
        <v>1233</v>
      </c>
      <c r="E991" s="13" t="s">
        <v>486</v>
      </c>
      <c r="F991" s="6" t="s">
        <v>494</v>
      </c>
      <c r="G991" s="6" t="s">
        <v>542</v>
      </c>
    </row>
    <row r="992" spans="1:7" ht="28" customHeight="1">
      <c r="A992" s="6">
        <v>801</v>
      </c>
      <c r="B992" s="6" t="s">
        <v>1139</v>
      </c>
      <c r="C992" s="7" t="s">
        <v>1140</v>
      </c>
      <c r="D992" s="6" t="s">
        <v>1234</v>
      </c>
      <c r="E992" s="6" t="s">
        <v>486</v>
      </c>
      <c r="F992" s="6" t="s">
        <v>494</v>
      </c>
      <c r="G992" s="6" t="s">
        <v>542</v>
      </c>
    </row>
    <row r="993" spans="1:7" ht="28" customHeight="1">
      <c r="A993" s="8">
        <v>802</v>
      </c>
      <c r="B993" s="8" t="s">
        <v>1139</v>
      </c>
      <c r="C993" s="9" t="s">
        <v>1140</v>
      </c>
      <c r="D993" s="8" t="s">
        <v>1235</v>
      </c>
      <c r="E993" s="10" t="s">
        <v>515</v>
      </c>
      <c r="F993" s="8" t="s">
        <v>552</v>
      </c>
      <c r="G993" s="8" t="s">
        <v>542</v>
      </c>
    </row>
    <row r="994" spans="1:7" ht="28" customHeight="1">
      <c r="A994" s="6">
        <v>803</v>
      </c>
      <c r="B994" s="6" t="s">
        <v>1139</v>
      </c>
      <c r="C994" s="7" t="s">
        <v>1140</v>
      </c>
      <c r="D994" s="6" t="s">
        <v>1236</v>
      </c>
      <c r="E994" s="6" t="s">
        <v>451</v>
      </c>
      <c r="F994" s="6" t="s">
        <v>455</v>
      </c>
      <c r="G994" s="6" t="s">
        <v>452</v>
      </c>
    </row>
    <row r="995" spans="1:7" ht="28" customHeight="1">
      <c r="A995" s="8">
        <v>804</v>
      </c>
      <c r="B995" s="8" t="s">
        <v>1139</v>
      </c>
      <c r="C995" s="9" t="s">
        <v>1140</v>
      </c>
      <c r="D995" s="8" t="s">
        <v>1237</v>
      </c>
      <c r="E995" s="10" t="s">
        <v>451</v>
      </c>
      <c r="F995" s="8" t="s">
        <v>561</v>
      </c>
      <c r="G995" s="8" t="s">
        <v>452</v>
      </c>
    </row>
    <row r="996" spans="1:7" ht="28" customHeight="1">
      <c r="A996" s="6">
        <v>805</v>
      </c>
      <c r="B996" s="6" t="s">
        <v>1139</v>
      </c>
      <c r="C996" s="7" t="s">
        <v>1140</v>
      </c>
      <c r="D996" s="6" t="s">
        <v>1238</v>
      </c>
      <c r="E996" s="13" t="s">
        <v>519</v>
      </c>
      <c r="F996" s="6" t="s">
        <v>486</v>
      </c>
      <c r="G996" s="6" t="s">
        <v>542</v>
      </c>
    </row>
    <row r="997" spans="1:7" ht="28" customHeight="1">
      <c r="A997" s="8">
        <v>806</v>
      </c>
      <c r="B997" s="8" t="s">
        <v>1139</v>
      </c>
      <c r="C997" s="9" t="s">
        <v>1140</v>
      </c>
      <c r="D997" s="8" t="s">
        <v>422</v>
      </c>
      <c r="E997" s="10" t="s">
        <v>454</v>
      </c>
      <c r="F997" s="8" t="s">
        <v>552</v>
      </c>
      <c r="G997" s="8" t="s">
        <v>542</v>
      </c>
    </row>
    <row r="998" spans="1:7" ht="28" customHeight="1">
      <c r="A998" s="6">
        <v>807</v>
      </c>
      <c r="B998" s="6" t="s">
        <v>1139</v>
      </c>
      <c r="C998" s="7" t="s">
        <v>1140</v>
      </c>
      <c r="D998" s="6" t="s">
        <v>425</v>
      </c>
      <c r="E998" s="6" t="s">
        <v>471</v>
      </c>
      <c r="F998" s="6" t="s">
        <v>455</v>
      </c>
      <c r="G998" s="6" t="s">
        <v>542</v>
      </c>
    </row>
    <row r="999" spans="1:7" ht="28" customHeight="1">
      <c r="A999" s="8">
        <v>808</v>
      </c>
      <c r="B999" s="8" t="s">
        <v>42</v>
      </c>
      <c r="C999" s="9" t="s">
        <v>1140</v>
      </c>
      <c r="D999" s="8" t="s">
        <v>426</v>
      </c>
      <c r="E999" s="8" t="s">
        <v>486</v>
      </c>
      <c r="F999" s="8" t="s">
        <v>455</v>
      </c>
      <c r="G999" s="8" t="s">
        <v>452</v>
      </c>
    </row>
    <row r="1000" spans="1:7" ht="28" customHeight="1">
      <c r="A1000" s="6">
        <v>809</v>
      </c>
      <c r="B1000" s="6" t="s">
        <v>42</v>
      </c>
      <c r="C1000" s="7" t="s">
        <v>1140</v>
      </c>
      <c r="D1000" s="6" t="s">
        <v>428</v>
      </c>
      <c r="E1000" s="6" t="s">
        <v>486</v>
      </c>
      <c r="F1000" s="6" t="s">
        <v>455</v>
      </c>
      <c r="G1000" s="6" t="s">
        <v>452</v>
      </c>
    </row>
    <row r="1001" spans="1:7" ht="28" customHeight="1">
      <c r="A1001" s="8">
        <v>810</v>
      </c>
      <c r="B1001" s="8" t="s">
        <v>1239</v>
      </c>
      <c r="C1001" s="9" t="s">
        <v>1240</v>
      </c>
      <c r="D1001" s="8" t="s">
        <v>1241</v>
      </c>
      <c r="E1001" s="8" t="s">
        <v>450</v>
      </c>
      <c r="F1001" s="8" t="s">
        <v>455</v>
      </c>
      <c r="G1001" s="8" t="s">
        <v>452</v>
      </c>
    </row>
    <row r="1002" spans="1:7" ht="28" customHeight="1">
      <c r="A1002" s="6">
        <v>811</v>
      </c>
      <c r="B1002" s="6" t="s">
        <v>1239</v>
      </c>
      <c r="C1002" s="7" t="s">
        <v>1240</v>
      </c>
      <c r="D1002" s="6" t="s">
        <v>1242</v>
      </c>
      <c r="E1002" s="6" t="s">
        <v>450</v>
      </c>
      <c r="F1002" s="6" t="s">
        <v>455</v>
      </c>
      <c r="G1002" s="6" t="s">
        <v>452</v>
      </c>
    </row>
    <row r="1003" spans="1:7" ht="28" customHeight="1">
      <c r="A1003" s="8">
        <v>812</v>
      </c>
      <c r="B1003" s="8" t="s">
        <v>1239</v>
      </c>
      <c r="C1003" s="9" t="s">
        <v>1240</v>
      </c>
      <c r="D1003" s="8" t="s">
        <v>1243</v>
      </c>
      <c r="E1003" s="8" t="s">
        <v>450</v>
      </c>
      <c r="F1003" s="8" t="s">
        <v>455</v>
      </c>
      <c r="G1003" s="8" t="s">
        <v>452</v>
      </c>
    </row>
    <row r="1004" spans="1:7" ht="28" customHeight="1">
      <c r="A1004" s="6">
        <v>813</v>
      </c>
      <c r="B1004" s="6" t="s">
        <v>1239</v>
      </c>
      <c r="C1004" s="7" t="s">
        <v>1240</v>
      </c>
      <c r="D1004" s="6" t="s">
        <v>1244</v>
      </c>
      <c r="E1004" s="6" t="s">
        <v>454</v>
      </c>
      <c r="F1004" s="6" t="s">
        <v>455</v>
      </c>
      <c r="G1004" s="6" t="s">
        <v>452</v>
      </c>
    </row>
    <row r="1005" spans="1:7" ht="28" customHeight="1">
      <c r="A1005" s="8">
        <v>814</v>
      </c>
      <c r="B1005" s="8" t="s">
        <v>1239</v>
      </c>
      <c r="C1005" s="9" t="s">
        <v>1240</v>
      </c>
      <c r="D1005" s="8" t="s">
        <v>1245</v>
      </c>
      <c r="E1005" s="8" t="s">
        <v>454</v>
      </c>
      <c r="F1005" s="8" t="s">
        <v>455</v>
      </c>
      <c r="G1005" s="8" t="s">
        <v>452</v>
      </c>
    </row>
    <row r="1006" spans="1:7" ht="28" customHeight="1">
      <c r="A1006" s="6">
        <v>815</v>
      </c>
      <c r="B1006" s="6" t="s">
        <v>1239</v>
      </c>
      <c r="C1006" s="7" t="s">
        <v>1240</v>
      </c>
      <c r="D1006" s="6" t="s">
        <v>1246</v>
      </c>
      <c r="E1006" s="6" t="s">
        <v>454</v>
      </c>
      <c r="F1006" s="6" t="s">
        <v>455</v>
      </c>
      <c r="G1006" s="6" t="s">
        <v>452</v>
      </c>
    </row>
    <row r="1007" spans="1:7" ht="28" customHeight="1">
      <c r="A1007" s="8">
        <v>816</v>
      </c>
      <c r="B1007" s="8" t="s">
        <v>1239</v>
      </c>
      <c r="C1007" s="9" t="s">
        <v>1240</v>
      </c>
      <c r="D1007" s="8" t="s">
        <v>1247</v>
      </c>
      <c r="E1007" s="8" t="s">
        <v>457</v>
      </c>
      <c r="F1007" s="8" t="s">
        <v>455</v>
      </c>
      <c r="G1007" s="8" t="s">
        <v>452</v>
      </c>
    </row>
    <row r="1008" spans="1:7" ht="28" customHeight="1">
      <c r="A1008" s="6">
        <v>817</v>
      </c>
      <c r="B1008" s="6" t="s">
        <v>1239</v>
      </c>
      <c r="C1008" s="7" t="s">
        <v>1240</v>
      </c>
      <c r="D1008" s="6" t="s">
        <v>1248</v>
      </c>
      <c r="E1008" s="6" t="s">
        <v>457</v>
      </c>
      <c r="F1008" s="6" t="s">
        <v>455</v>
      </c>
      <c r="G1008" s="6" t="s">
        <v>452</v>
      </c>
    </row>
    <row r="1009" spans="1:7" ht="28" customHeight="1">
      <c r="A1009" s="8">
        <v>818</v>
      </c>
      <c r="B1009" s="8" t="s">
        <v>1239</v>
      </c>
      <c r="C1009" s="9" t="s">
        <v>1240</v>
      </c>
      <c r="D1009" s="8" t="s">
        <v>1249</v>
      </c>
      <c r="E1009" s="8" t="s">
        <v>457</v>
      </c>
      <c r="F1009" s="8" t="s">
        <v>455</v>
      </c>
      <c r="G1009" s="8" t="s">
        <v>452</v>
      </c>
    </row>
    <row r="1010" spans="1:7" ht="28" customHeight="1">
      <c r="A1010" s="6">
        <v>819</v>
      </c>
      <c r="B1010" s="6" t="s">
        <v>1239</v>
      </c>
      <c r="C1010" s="7" t="s">
        <v>1240</v>
      </c>
      <c r="D1010" s="6" t="s">
        <v>1250</v>
      </c>
      <c r="E1010" s="6" t="s">
        <v>462</v>
      </c>
      <c r="F1010" s="6" t="s">
        <v>455</v>
      </c>
      <c r="G1010" s="6" t="s">
        <v>452</v>
      </c>
    </row>
    <row r="1011" spans="1:7" ht="28" customHeight="1">
      <c r="A1011" s="8">
        <v>820</v>
      </c>
      <c r="B1011" s="8" t="s">
        <v>1239</v>
      </c>
      <c r="C1011" s="9" t="s">
        <v>1240</v>
      </c>
      <c r="D1011" s="8" t="s">
        <v>1251</v>
      </c>
      <c r="E1011" s="8" t="s">
        <v>462</v>
      </c>
      <c r="F1011" s="8" t="s">
        <v>455</v>
      </c>
      <c r="G1011" s="8" t="s">
        <v>452</v>
      </c>
    </row>
    <row r="1012" spans="1:7" ht="28" customHeight="1">
      <c r="A1012" s="6">
        <v>821</v>
      </c>
      <c r="B1012" s="6" t="s">
        <v>1239</v>
      </c>
      <c r="C1012" s="7" t="s">
        <v>1240</v>
      </c>
      <c r="D1012" s="6" t="s">
        <v>1252</v>
      </c>
      <c r="E1012" s="6" t="s">
        <v>456</v>
      </c>
      <c r="F1012" s="6" t="s">
        <v>455</v>
      </c>
      <c r="G1012" s="6" t="s">
        <v>452</v>
      </c>
    </row>
    <row r="1013" spans="1:7" ht="28" customHeight="1">
      <c r="A1013" s="8">
        <v>822</v>
      </c>
      <c r="B1013" s="8" t="s">
        <v>1239</v>
      </c>
      <c r="C1013" s="9" t="s">
        <v>1240</v>
      </c>
      <c r="D1013" s="8" t="s">
        <v>1253</v>
      </c>
      <c r="E1013" s="8" t="s">
        <v>456</v>
      </c>
      <c r="F1013" s="8" t="s">
        <v>455</v>
      </c>
      <c r="G1013" s="8" t="s">
        <v>452</v>
      </c>
    </row>
    <row r="1014" spans="1:7" ht="28" customHeight="1">
      <c r="A1014" s="6">
        <v>823</v>
      </c>
      <c r="B1014" s="6" t="s">
        <v>1239</v>
      </c>
      <c r="C1014" s="7" t="s">
        <v>1240</v>
      </c>
      <c r="D1014" s="6" t="s">
        <v>1254</v>
      </c>
      <c r="E1014" s="13" t="s">
        <v>456</v>
      </c>
      <c r="F1014" s="6" t="s">
        <v>486</v>
      </c>
      <c r="G1014" s="6" t="s">
        <v>452</v>
      </c>
    </row>
    <row r="1015" spans="1:7" ht="28" customHeight="1">
      <c r="A1015" s="8">
        <v>824</v>
      </c>
      <c r="B1015" s="8" t="s">
        <v>1239</v>
      </c>
      <c r="C1015" s="9" t="s">
        <v>1240</v>
      </c>
      <c r="D1015" s="8" t="s">
        <v>1255</v>
      </c>
      <c r="E1015" s="8" t="s">
        <v>460</v>
      </c>
      <c r="F1015" s="8" t="s">
        <v>455</v>
      </c>
      <c r="G1015" s="8" t="s">
        <v>452</v>
      </c>
    </row>
    <row r="1016" spans="1:7" ht="28" customHeight="1">
      <c r="A1016" s="6">
        <v>825</v>
      </c>
      <c r="B1016" s="6" t="s">
        <v>1239</v>
      </c>
      <c r="C1016" s="7" t="s">
        <v>1240</v>
      </c>
      <c r="D1016" s="6" t="s">
        <v>1256</v>
      </c>
      <c r="E1016" s="13" t="s">
        <v>460</v>
      </c>
      <c r="F1016" s="6" t="s">
        <v>481</v>
      </c>
      <c r="G1016" s="6" t="s">
        <v>452</v>
      </c>
    </row>
    <row r="1017" spans="1:7" ht="28" customHeight="1">
      <c r="A1017" s="8">
        <v>826</v>
      </c>
      <c r="B1017" s="8" t="s">
        <v>1239</v>
      </c>
      <c r="C1017" s="9" t="s">
        <v>1240</v>
      </c>
      <c r="D1017" s="8" t="s">
        <v>1257</v>
      </c>
      <c r="E1017" s="10" t="s">
        <v>460</v>
      </c>
      <c r="F1017" s="8" t="s">
        <v>481</v>
      </c>
      <c r="G1017" s="8" t="s">
        <v>452</v>
      </c>
    </row>
    <row r="1018" spans="1:7" ht="28" customHeight="1">
      <c r="A1018" s="6">
        <v>827</v>
      </c>
      <c r="B1018" s="6" t="s">
        <v>1239</v>
      </c>
      <c r="C1018" s="7" t="s">
        <v>1240</v>
      </c>
      <c r="D1018" s="6" t="s">
        <v>1258</v>
      </c>
      <c r="E1018" s="6" t="s">
        <v>465</v>
      </c>
      <c r="F1018" s="6" t="s">
        <v>455</v>
      </c>
      <c r="G1018" s="6" t="s">
        <v>452</v>
      </c>
    </row>
    <row r="1019" spans="1:7" ht="28" customHeight="1">
      <c r="A1019" s="8">
        <v>828</v>
      </c>
      <c r="B1019" s="8" t="s">
        <v>1239</v>
      </c>
      <c r="C1019" s="9" t="s">
        <v>1240</v>
      </c>
      <c r="D1019" s="8" t="s">
        <v>1259</v>
      </c>
      <c r="E1019" s="8" t="s">
        <v>465</v>
      </c>
      <c r="F1019" s="8" t="s">
        <v>455</v>
      </c>
      <c r="G1019" s="8" t="s">
        <v>452</v>
      </c>
    </row>
    <row r="1020" spans="1:7" ht="28" customHeight="1">
      <c r="A1020" s="6">
        <v>829</v>
      </c>
      <c r="B1020" s="6" t="s">
        <v>1239</v>
      </c>
      <c r="C1020" s="7" t="s">
        <v>1240</v>
      </c>
      <c r="D1020" s="6" t="s">
        <v>1260</v>
      </c>
      <c r="E1020" s="6" t="s">
        <v>450</v>
      </c>
      <c r="F1020" s="6" t="s">
        <v>455</v>
      </c>
      <c r="G1020" s="6" t="s">
        <v>452</v>
      </c>
    </row>
    <row r="1021" spans="1:7" ht="28" customHeight="1">
      <c r="A1021" s="8">
        <v>830</v>
      </c>
      <c r="B1021" s="8" t="s">
        <v>1239</v>
      </c>
      <c r="C1021" s="9" t="s">
        <v>1240</v>
      </c>
      <c r="D1021" s="8" t="s">
        <v>1261</v>
      </c>
      <c r="E1021" s="8" t="s">
        <v>450</v>
      </c>
      <c r="F1021" s="8" t="s">
        <v>455</v>
      </c>
      <c r="G1021" s="8" t="s">
        <v>452</v>
      </c>
    </row>
    <row r="1022" spans="1:7" ht="28" customHeight="1">
      <c r="A1022" s="6">
        <v>831</v>
      </c>
      <c r="B1022" s="6" t="s">
        <v>1239</v>
      </c>
      <c r="C1022" s="7" t="s">
        <v>1240</v>
      </c>
      <c r="D1022" s="6" t="s">
        <v>430</v>
      </c>
      <c r="E1022" s="6" t="s">
        <v>462</v>
      </c>
      <c r="F1022" s="6" t="s">
        <v>455</v>
      </c>
      <c r="G1022" s="6" t="s">
        <v>452</v>
      </c>
    </row>
    <row r="1023" spans="1:7" ht="28" customHeight="1">
      <c r="A1023" s="8">
        <v>832</v>
      </c>
      <c r="B1023" s="8" t="s">
        <v>1239</v>
      </c>
      <c r="C1023" s="9" t="s">
        <v>1240</v>
      </c>
      <c r="D1023" s="8" t="s">
        <v>1262</v>
      </c>
      <c r="E1023" s="8" t="s">
        <v>462</v>
      </c>
      <c r="F1023" s="8" t="s">
        <v>455</v>
      </c>
      <c r="G1023" s="8" t="s">
        <v>452</v>
      </c>
    </row>
    <row r="1024" spans="1:7" ht="28" customHeight="1">
      <c r="A1024" s="6">
        <v>833</v>
      </c>
      <c r="B1024" s="6" t="s">
        <v>1239</v>
      </c>
      <c r="C1024" s="7" t="s">
        <v>1240</v>
      </c>
      <c r="D1024" s="6" t="s">
        <v>1263</v>
      </c>
      <c r="E1024" s="6" t="s">
        <v>457</v>
      </c>
      <c r="F1024" s="6" t="s">
        <v>455</v>
      </c>
      <c r="G1024" s="6" t="s">
        <v>452</v>
      </c>
    </row>
    <row r="1025" spans="1:7" ht="28" customHeight="1">
      <c r="A1025" s="8">
        <v>834</v>
      </c>
      <c r="B1025" s="8" t="s">
        <v>1239</v>
      </c>
      <c r="C1025" s="9" t="s">
        <v>1240</v>
      </c>
      <c r="D1025" s="8" t="s">
        <v>1264</v>
      </c>
      <c r="E1025" s="10" t="s">
        <v>457</v>
      </c>
      <c r="F1025" s="8" t="s">
        <v>519</v>
      </c>
      <c r="G1025" s="8" t="s">
        <v>452</v>
      </c>
    </row>
    <row r="1026" spans="1:7" ht="28" customHeight="1">
      <c r="A1026" s="6">
        <v>835</v>
      </c>
      <c r="B1026" s="6" t="s">
        <v>1239</v>
      </c>
      <c r="C1026" s="7" t="s">
        <v>1240</v>
      </c>
      <c r="D1026" s="6" t="s">
        <v>1265</v>
      </c>
      <c r="E1026" s="6" t="s">
        <v>471</v>
      </c>
      <c r="F1026" s="6" t="s">
        <v>455</v>
      </c>
      <c r="G1026" s="6" t="s">
        <v>452</v>
      </c>
    </row>
    <row r="1027" spans="1:7" ht="28" customHeight="1">
      <c r="A1027" s="8">
        <v>836</v>
      </c>
      <c r="B1027" s="8" t="s">
        <v>1239</v>
      </c>
      <c r="C1027" s="9" t="s">
        <v>1240</v>
      </c>
      <c r="D1027" s="8" t="s">
        <v>1266</v>
      </c>
      <c r="E1027" s="8" t="s">
        <v>471</v>
      </c>
      <c r="F1027" s="8" t="s">
        <v>455</v>
      </c>
      <c r="G1027" s="8" t="s">
        <v>452</v>
      </c>
    </row>
    <row r="1028" spans="1:7" ht="28" customHeight="1">
      <c r="A1028" s="6">
        <v>837</v>
      </c>
      <c r="B1028" s="6" t="s">
        <v>1239</v>
      </c>
      <c r="C1028" s="7" t="s">
        <v>1240</v>
      </c>
      <c r="D1028" s="6" t="s">
        <v>1267</v>
      </c>
      <c r="E1028" s="6" t="s">
        <v>519</v>
      </c>
      <c r="F1028" s="6" t="s">
        <v>455</v>
      </c>
      <c r="G1028" s="6" t="s">
        <v>452</v>
      </c>
    </row>
    <row r="1029" spans="1:7" ht="28" customHeight="1">
      <c r="A1029" s="8">
        <v>838</v>
      </c>
      <c r="B1029" s="8" t="s">
        <v>1239</v>
      </c>
      <c r="C1029" s="9" t="s">
        <v>1240</v>
      </c>
      <c r="D1029" s="8" t="s">
        <v>1268</v>
      </c>
      <c r="E1029" s="10" t="s">
        <v>519</v>
      </c>
      <c r="F1029" s="8" t="s">
        <v>454</v>
      </c>
      <c r="G1029" s="8" t="s">
        <v>452</v>
      </c>
    </row>
    <row r="1030" spans="1:7" ht="28" customHeight="1">
      <c r="A1030" s="6">
        <v>839</v>
      </c>
      <c r="B1030" s="6" t="s">
        <v>1239</v>
      </c>
      <c r="C1030" s="7" t="s">
        <v>1240</v>
      </c>
      <c r="D1030" s="6" t="s">
        <v>1269</v>
      </c>
      <c r="E1030" s="13" t="s">
        <v>519</v>
      </c>
      <c r="F1030" s="6" t="s">
        <v>454</v>
      </c>
      <c r="G1030" s="6" t="s">
        <v>452</v>
      </c>
    </row>
    <row r="1031" spans="1:7" ht="28" customHeight="1">
      <c r="A1031" s="8">
        <v>840</v>
      </c>
      <c r="B1031" s="8" t="s">
        <v>1239</v>
      </c>
      <c r="C1031" s="9" t="s">
        <v>1240</v>
      </c>
      <c r="D1031" s="8" t="s">
        <v>1270</v>
      </c>
      <c r="E1031" s="10" t="s">
        <v>450</v>
      </c>
      <c r="F1031" s="8" t="s">
        <v>561</v>
      </c>
      <c r="G1031" s="8" t="s">
        <v>452</v>
      </c>
    </row>
    <row r="1032" spans="1:7" ht="28" customHeight="1">
      <c r="A1032" s="6">
        <v>841</v>
      </c>
      <c r="B1032" s="6" t="s">
        <v>1239</v>
      </c>
      <c r="C1032" s="7" t="s">
        <v>1240</v>
      </c>
      <c r="D1032" s="6" t="s">
        <v>1271</v>
      </c>
      <c r="E1032" s="13" t="s">
        <v>450</v>
      </c>
      <c r="F1032" s="6" t="s">
        <v>561</v>
      </c>
      <c r="G1032" s="6" t="s">
        <v>452</v>
      </c>
    </row>
    <row r="1033" spans="1:7" ht="28" customHeight="1">
      <c r="A1033" s="8">
        <v>842</v>
      </c>
      <c r="B1033" s="8" t="s">
        <v>1239</v>
      </c>
      <c r="C1033" s="9" t="s">
        <v>1240</v>
      </c>
      <c r="D1033" s="8" t="s">
        <v>1272</v>
      </c>
      <c r="E1033" s="10" t="s">
        <v>450</v>
      </c>
      <c r="F1033" s="8" t="s">
        <v>561</v>
      </c>
      <c r="G1033" s="8" t="s">
        <v>452</v>
      </c>
    </row>
    <row r="1034" spans="1:7" ht="28" customHeight="1">
      <c r="A1034" s="6">
        <v>843</v>
      </c>
      <c r="B1034" s="6" t="s">
        <v>1239</v>
      </c>
      <c r="C1034" s="7" t="s">
        <v>1240</v>
      </c>
      <c r="D1034" s="6" t="s">
        <v>1273</v>
      </c>
      <c r="E1034" s="6" t="s">
        <v>483</v>
      </c>
      <c r="F1034" s="6" t="s">
        <v>455</v>
      </c>
      <c r="G1034" s="6" t="s">
        <v>452</v>
      </c>
    </row>
    <row r="1035" spans="1:7" ht="28" customHeight="1">
      <c r="A1035" s="8">
        <v>844</v>
      </c>
      <c r="B1035" s="8" t="s">
        <v>1239</v>
      </c>
      <c r="C1035" s="9" t="s">
        <v>1240</v>
      </c>
      <c r="D1035" s="8" t="s">
        <v>432</v>
      </c>
      <c r="E1035" s="8" t="s">
        <v>483</v>
      </c>
      <c r="F1035" s="8" t="s">
        <v>455</v>
      </c>
      <c r="G1035" s="8" t="s">
        <v>452</v>
      </c>
    </row>
    <row r="1036" spans="1:7" ht="28" customHeight="1">
      <c r="A1036" s="6">
        <v>845</v>
      </c>
      <c r="B1036" s="6" t="s">
        <v>1239</v>
      </c>
      <c r="C1036" s="7" t="s">
        <v>1240</v>
      </c>
      <c r="D1036" s="6" t="s">
        <v>434</v>
      </c>
      <c r="E1036" s="13" t="s">
        <v>456</v>
      </c>
      <c r="F1036" s="6" t="s">
        <v>457</v>
      </c>
      <c r="G1036" s="6" t="s">
        <v>542</v>
      </c>
    </row>
    <row r="1037" spans="1:7" ht="28" customHeight="1">
      <c r="A1037" s="8">
        <v>846</v>
      </c>
      <c r="B1037" s="8" t="s">
        <v>1239</v>
      </c>
      <c r="C1037" s="9" t="s">
        <v>1240</v>
      </c>
      <c r="D1037" s="8" t="s">
        <v>1274</v>
      </c>
      <c r="E1037" s="8" t="s">
        <v>457</v>
      </c>
      <c r="F1037" s="8" t="s">
        <v>455</v>
      </c>
      <c r="G1037" s="8" t="s">
        <v>452</v>
      </c>
    </row>
    <row r="1038" spans="1:7" ht="28" customHeight="1">
      <c r="A1038" s="6">
        <v>847</v>
      </c>
      <c r="B1038" s="6" t="s">
        <v>1239</v>
      </c>
      <c r="C1038" s="7" t="s">
        <v>1240</v>
      </c>
      <c r="D1038" s="6" t="s">
        <v>1275</v>
      </c>
      <c r="E1038" s="6" t="s">
        <v>457</v>
      </c>
      <c r="F1038" s="6" t="s">
        <v>455</v>
      </c>
      <c r="G1038" s="6" t="s">
        <v>452</v>
      </c>
    </row>
    <row r="1039" spans="1:7" ht="28" customHeight="1">
      <c r="A1039" s="8">
        <v>848</v>
      </c>
      <c r="B1039" s="8" t="s">
        <v>1239</v>
      </c>
      <c r="C1039" s="9" t="s">
        <v>1240</v>
      </c>
      <c r="D1039" s="8" t="s">
        <v>1276</v>
      </c>
      <c r="E1039" s="10" t="s">
        <v>471</v>
      </c>
      <c r="F1039" s="8" t="s">
        <v>451</v>
      </c>
      <c r="G1039" s="8" t="s">
        <v>452</v>
      </c>
    </row>
    <row r="1040" spans="1:7" ht="28" customHeight="1">
      <c r="A1040" s="6">
        <v>849</v>
      </c>
      <c r="B1040" s="6" t="s">
        <v>1239</v>
      </c>
      <c r="C1040" s="7" t="s">
        <v>1240</v>
      </c>
      <c r="D1040" s="6" t="s">
        <v>1277</v>
      </c>
      <c r="E1040" s="13" t="s">
        <v>471</v>
      </c>
      <c r="F1040" s="6" t="s">
        <v>451</v>
      </c>
      <c r="G1040" s="6" t="s">
        <v>452</v>
      </c>
    </row>
    <row r="1041" spans="1:7" ht="28" customHeight="1">
      <c r="A1041" s="6">
        <v>849</v>
      </c>
      <c r="B1041" s="6" t="s">
        <v>1239</v>
      </c>
      <c r="C1041" s="7" t="s">
        <v>1240</v>
      </c>
      <c r="D1041" s="6" t="s">
        <v>1278</v>
      </c>
      <c r="E1041" s="6" t="s">
        <v>471</v>
      </c>
      <c r="F1041" s="6" t="s">
        <v>451</v>
      </c>
      <c r="G1041" s="6" t="s">
        <v>452</v>
      </c>
    </row>
    <row r="1042" spans="1:7" ht="28" customHeight="1">
      <c r="A1042" s="8">
        <v>850</v>
      </c>
      <c r="B1042" s="8" t="s">
        <v>1239</v>
      </c>
      <c r="C1042" s="9" t="s">
        <v>1240</v>
      </c>
      <c r="D1042" s="8" t="s">
        <v>1279</v>
      </c>
      <c r="E1042" s="10" t="s">
        <v>454</v>
      </c>
      <c r="F1042" s="8" t="s">
        <v>460</v>
      </c>
      <c r="G1042" s="8" t="s">
        <v>452</v>
      </c>
    </row>
    <row r="1043" spans="1:7" ht="28" customHeight="1">
      <c r="A1043" s="6">
        <v>851</v>
      </c>
      <c r="B1043" s="6" t="s">
        <v>1239</v>
      </c>
      <c r="C1043" s="7" t="s">
        <v>1240</v>
      </c>
      <c r="D1043" s="6" t="s">
        <v>1280</v>
      </c>
      <c r="E1043" s="13" t="s">
        <v>454</v>
      </c>
      <c r="F1043" s="6" t="s">
        <v>460</v>
      </c>
      <c r="G1043" s="6" t="s">
        <v>452</v>
      </c>
    </row>
    <row r="1044" spans="1:7" ht="28" customHeight="1">
      <c r="A1044" s="8">
        <v>852</v>
      </c>
      <c r="B1044" s="8" t="s">
        <v>1239</v>
      </c>
      <c r="C1044" s="9" t="s">
        <v>1240</v>
      </c>
      <c r="D1044" s="8" t="s">
        <v>1281</v>
      </c>
      <c r="E1044" s="8" t="s">
        <v>515</v>
      </c>
      <c r="F1044" s="8" t="s">
        <v>455</v>
      </c>
      <c r="G1044" s="8" t="s">
        <v>452</v>
      </c>
    </row>
    <row r="1045" spans="1:7" ht="28" customHeight="1">
      <c r="A1045" s="6">
        <v>853</v>
      </c>
      <c r="B1045" s="6" t="s">
        <v>1239</v>
      </c>
      <c r="C1045" s="7" t="s">
        <v>1240</v>
      </c>
      <c r="D1045" s="6" t="s">
        <v>1282</v>
      </c>
      <c r="E1045" s="6" t="s">
        <v>515</v>
      </c>
      <c r="F1045" s="6" t="s">
        <v>455</v>
      </c>
      <c r="G1045" s="6" t="s">
        <v>452</v>
      </c>
    </row>
    <row r="1046" spans="1:7" ht="28" customHeight="1">
      <c r="A1046" s="8">
        <v>854</v>
      </c>
      <c r="B1046" s="8" t="s">
        <v>1239</v>
      </c>
      <c r="C1046" s="9" t="s">
        <v>1240</v>
      </c>
      <c r="D1046" s="8" t="s">
        <v>1283</v>
      </c>
      <c r="E1046" s="8" t="s">
        <v>552</v>
      </c>
      <c r="F1046" s="8" t="s">
        <v>455</v>
      </c>
      <c r="G1046" s="8" t="s">
        <v>452</v>
      </c>
    </row>
    <row r="1047" spans="1:7" ht="28" customHeight="1">
      <c r="A1047" s="8">
        <v>854</v>
      </c>
      <c r="B1047" s="8" t="s">
        <v>1239</v>
      </c>
      <c r="C1047" s="9" t="s">
        <v>1240</v>
      </c>
      <c r="D1047" s="8" t="s">
        <v>1284</v>
      </c>
      <c r="E1047" s="8" t="s">
        <v>552</v>
      </c>
      <c r="F1047" s="8" t="s">
        <v>455</v>
      </c>
      <c r="G1047" s="8" t="s">
        <v>452</v>
      </c>
    </row>
    <row r="1048" spans="1:7" ht="28" customHeight="1">
      <c r="A1048" s="6">
        <v>855</v>
      </c>
      <c r="B1048" s="6" t="s">
        <v>1239</v>
      </c>
      <c r="C1048" s="7" t="s">
        <v>1240</v>
      </c>
      <c r="D1048" s="6" t="s">
        <v>1285</v>
      </c>
      <c r="E1048" s="6" t="s">
        <v>552</v>
      </c>
      <c r="F1048" s="6" t="s">
        <v>455</v>
      </c>
      <c r="G1048" s="6" t="s">
        <v>452</v>
      </c>
    </row>
    <row r="1049" spans="1:7" ht="28" customHeight="1">
      <c r="A1049" s="6">
        <v>855</v>
      </c>
      <c r="B1049" s="6" t="s">
        <v>1239</v>
      </c>
      <c r="C1049" s="7" t="s">
        <v>1240</v>
      </c>
      <c r="D1049" s="6" t="s">
        <v>1286</v>
      </c>
      <c r="E1049" s="6" t="s">
        <v>552</v>
      </c>
      <c r="F1049" s="6" t="s">
        <v>455</v>
      </c>
      <c r="G1049" s="6" t="s">
        <v>452</v>
      </c>
    </row>
    <row r="1050" spans="1:7" ht="28" customHeight="1">
      <c r="A1050" s="8">
        <v>856</v>
      </c>
      <c r="B1050" s="8" t="s">
        <v>1239</v>
      </c>
      <c r="C1050" s="9" t="s">
        <v>1240</v>
      </c>
      <c r="D1050" s="8" t="s">
        <v>1287</v>
      </c>
      <c r="E1050" s="8" t="s">
        <v>481</v>
      </c>
      <c r="F1050" s="8" t="s">
        <v>455</v>
      </c>
      <c r="G1050" s="8" t="s">
        <v>452</v>
      </c>
    </row>
    <row r="1051" spans="1:7" ht="28" customHeight="1">
      <c r="A1051" s="6">
        <v>857</v>
      </c>
      <c r="B1051" s="6" t="s">
        <v>1239</v>
      </c>
      <c r="C1051" s="7" t="s">
        <v>1240</v>
      </c>
      <c r="D1051" s="6" t="s">
        <v>1288</v>
      </c>
      <c r="E1051" s="6" t="s">
        <v>481</v>
      </c>
      <c r="F1051" s="6" t="s">
        <v>455</v>
      </c>
      <c r="G1051" s="6" t="s">
        <v>452</v>
      </c>
    </row>
    <row r="1052" spans="1:7" ht="28" customHeight="1">
      <c r="A1052" s="8">
        <v>858</v>
      </c>
      <c r="B1052" s="8" t="s">
        <v>1239</v>
      </c>
      <c r="C1052" s="9" t="s">
        <v>1240</v>
      </c>
      <c r="D1052" s="8" t="s">
        <v>1289</v>
      </c>
      <c r="E1052" s="10" t="s">
        <v>481</v>
      </c>
      <c r="F1052" s="8" t="s">
        <v>494</v>
      </c>
      <c r="G1052" s="8" t="s">
        <v>452</v>
      </c>
    </row>
    <row r="1053" spans="1:7" ht="28" customHeight="1">
      <c r="A1053" s="6">
        <v>859</v>
      </c>
      <c r="B1053" s="6" t="s">
        <v>1239</v>
      </c>
      <c r="C1053" s="7" t="s">
        <v>1240</v>
      </c>
      <c r="D1053" s="6" t="s">
        <v>1290</v>
      </c>
      <c r="E1053" s="13" t="s">
        <v>465</v>
      </c>
      <c r="F1053" s="6" t="s">
        <v>494</v>
      </c>
      <c r="G1053" s="6" t="s">
        <v>452</v>
      </c>
    </row>
    <row r="1054" spans="1:7" ht="28" customHeight="1">
      <c r="A1054" s="8">
        <v>860</v>
      </c>
      <c r="B1054" s="8" t="s">
        <v>1239</v>
      </c>
      <c r="C1054" s="9" t="s">
        <v>1240</v>
      </c>
      <c r="D1054" s="8" t="s">
        <v>1291</v>
      </c>
      <c r="E1054" s="10" t="s">
        <v>465</v>
      </c>
      <c r="F1054" s="8" t="s">
        <v>494</v>
      </c>
      <c r="G1054" s="8" t="s">
        <v>452</v>
      </c>
    </row>
    <row r="1055" spans="1:7" ht="28" customHeight="1">
      <c r="A1055" s="6">
        <v>861</v>
      </c>
      <c r="B1055" s="6" t="s">
        <v>1239</v>
      </c>
      <c r="C1055" s="7" t="s">
        <v>1240</v>
      </c>
      <c r="D1055" s="6" t="s">
        <v>1292</v>
      </c>
      <c r="E1055" s="13" t="s">
        <v>465</v>
      </c>
      <c r="F1055" s="6" t="s">
        <v>494</v>
      </c>
      <c r="G1055" s="6" t="s">
        <v>452</v>
      </c>
    </row>
    <row r="1056" spans="1:7" ht="28" customHeight="1">
      <c r="A1056" s="8">
        <v>862</v>
      </c>
      <c r="B1056" s="8" t="s">
        <v>1239</v>
      </c>
      <c r="C1056" s="9" t="s">
        <v>1240</v>
      </c>
      <c r="D1056" s="8" t="s">
        <v>1293</v>
      </c>
      <c r="E1056" s="10" t="s">
        <v>465</v>
      </c>
      <c r="F1056" s="8" t="s">
        <v>462</v>
      </c>
      <c r="G1056" s="8" t="s">
        <v>452</v>
      </c>
    </row>
    <row r="1057" spans="1:7" ht="28" customHeight="1">
      <c r="A1057" s="6">
        <v>863</v>
      </c>
      <c r="B1057" s="6" t="s">
        <v>1239</v>
      </c>
      <c r="C1057" s="7" t="s">
        <v>1240</v>
      </c>
      <c r="D1057" s="6" t="s">
        <v>1294</v>
      </c>
      <c r="E1057" s="6" t="s">
        <v>486</v>
      </c>
      <c r="F1057" s="6" t="s">
        <v>455</v>
      </c>
      <c r="G1057" s="6" t="s">
        <v>452</v>
      </c>
    </row>
    <row r="1058" spans="1:7" ht="28" customHeight="1">
      <c r="A1058" s="8">
        <v>864</v>
      </c>
      <c r="B1058" s="8" t="s">
        <v>1239</v>
      </c>
      <c r="C1058" s="9" t="s">
        <v>1240</v>
      </c>
      <c r="D1058" s="8" t="s">
        <v>1295</v>
      </c>
      <c r="E1058" s="8" t="s">
        <v>552</v>
      </c>
      <c r="F1058" s="8" t="s">
        <v>455</v>
      </c>
      <c r="G1058" s="8" t="s">
        <v>452</v>
      </c>
    </row>
    <row r="1059" spans="1:7" ht="28" customHeight="1">
      <c r="A1059" s="6">
        <v>865</v>
      </c>
      <c r="B1059" s="6" t="s">
        <v>1239</v>
      </c>
      <c r="C1059" s="7" t="s">
        <v>1240</v>
      </c>
      <c r="D1059" s="6" t="s">
        <v>1296</v>
      </c>
      <c r="E1059" s="6" t="s">
        <v>515</v>
      </c>
      <c r="F1059" s="6" t="s">
        <v>455</v>
      </c>
      <c r="G1059" s="6" t="s">
        <v>452</v>
      </c>
    </row>
    <row r="1060" spans="1:7" ht="28" customHeight="1">
      <c r="A1060" s="8">
        <v>866</v>
      </c>
      <c r="B1060" s="8" t="s">
        <v>1239</v>
      </c>
      <c r="C1060" s="9" t="s">
        <v>1240</v>
      </c>
      <c r="D1060" s="8" t="s">
        <v>1297</v>
      </c>
      <c r="E1060" s="10" t="s">
        <v>485</v>
      </c>
      <c r="F1060" s="8" t="s">
        <v>481</v>
      </c>
      <c r="G1060" s="8" t="s">
        <v>452</v>
      </c>
    </row>
    <row r="1061" spans="1:7" ht="28" customHeight="1">
      <c r="A1061" s="6">
        <v>867</v>
      </c>
      <c r="B1061" s="6" t="s">
        <v>1239</v>
      </c>
      <c r="C1061" s="7" t="s">
        <v>1240</v>
      </c>
      <c r="D1061" s="6" t="s">
        <v>1298</v>
      </c>
      <c r="E1061" s="13" t="s">
        <v>483</v>
      </c>
      <c r="F1061" s="6" t="s">
        <v>552</v>
      </c>
      <c r="G1061" s="6" t="s">
        <v>452</v>
      </c>
    </row>
    <row r="1062" spans="1:7" ht="28" customHeight="1">
      <c r="A1062" s="8">
        <v>868</v>
      </c>
      <c r="B1062" s="8" t="s">
        <v>1239</v>
      </c>
      <c r="C1062" s="9" t="s">
        <v>1240</v>
      </c>
      <c r="D1062" s="8" t="s">
        <v>1299</v>
      </c>
      <c r="E1062" s="8" t="s">
        <v>494</v>
      </c>
      <c r="F1062" s="8" t="s">
        <v>455</v>
      </c>
      <c r="G1062" s="8" t="s">
        <v>452</v>
      </c>
    </row>
    <row r="1063" spans="1:7" ht="28" customHeight="1">
      <c r="A1063" s="6">
        <v>869</v>
      </c>
      <c r="B1063" s="6" t="s">
        <v>1239</v>
      </c>
      <c r="C1063" s="7" t="s">
        <v>1240</v>
      </c>
      <c r="D1063" s="6" t="s">
        <v>1300</v>
      </c>
      <c r="E1063" s="6" t="s">
        <v>494</v>
      </c>
      <c r="F1063" s="6" t="s">
        <v>455</v>
      </c>
      <c r="G1063" s="6" t="s">
        <v>452</v>
      </c>
    </row>
    <row r="1064" spans="1:7" ht="28" customHeight="1">
      <c r="A1064" s="6">
        <v>869</v>
      </c>
      <c r="B1064" s="6" t="s">
        <v>1239</v>
      </c>
      <c r="C1064" s="7" t="s">
        <v>1240</v>
      </c>
      <c r="D1064" s="6" t="s">
        <v>1301</v>
      </c>
      <c r="E1064" s="6" t="s">
        <v>494</v>
      </c>
      <c r="F1064" s="6" t="s">
        <v>455</v>
      </c>
      <c r="G1064" s="6" t="s">
        <v>452</v>
      </c>
    </row>
    <row r="1065" spans="1:7" ht="28" customHeight="1">
      <c r="A1065" s="6">
        <v>869</v>
      </c>
      <c r="B1065" s="6" t="s">
        <v>1239</v>
      </c>
      <c r="C1065" s="7" t="s">
        <v>1240</v>
      </c>
      <c r="D1065" s="6" t="s">
        <v>1302</v>
      </c>
      <c r="E1065" s="6" t="s">
        <v>494</v>
      </c>
      <c r="F1065" s="6" t="s">
        <v>455</v>
      </c>
      <c r="G1065" s="6" t="s">
        <v>452</v>
      </c>
    </row>
    <row r="1066" spans="1:7" ht="28" customHeight="1">
      <c r="A1066" s="6">
        <v>869</v>
      </c>
      <c r="B1066" s="6" t="s">
        <v>1239</v>
      </c>
      <c r="C1066" s="7" t="s">
        <v>1240</v>
      </c>
      <c r="D1066" s="6" t="s">
        <v>1303</v>
      </c>
      <c r="E1066" s="6" t="s">
        <v>494</v>
      </c>
      <c r="F1066" s="6" t="s">
        <v>455</v>
      </c>
      <c r="G1066" s="6" t="s">
        <v>452</v>
      </c>
    </row>
    <row r="1067" spans="1:7" ht="28" customHeight="1">
      <c r="A1067" s="6">
        <v>869</v>
      </c>
      <c r="B1067" s="6" t="s">
        <v>1239</v>
      </c>
      <c r="C1067" s="7" t="s">
        <v>1240</v>
      </c>
      <c r="D1067" s="6" t="s">
        <v>1304</v>
      </c>
      <c r="E1067" s="6" t="s">
        <v>494</v>
      </c>
      <c r="F1067" s="6" t="s">
        <v>455</v>
      </c>
      <c r="G1067" s="6" t="s">
        <v>452</v>
      </c>
    </row>
    <row r="1068" spans="1:7" ht="28" customHeight="1">
      <c r="A1068" s="6">
        <v>869</v>
      </c>
      <c r="B1068" s="6" t="s">
        <v>1239</v>
      </c>
      <c r="C1068" s="7" t="s">
        <v>1240</v>
      </c>
      <c r="D1068" s="6" t="s">
        <v>1305</v>
      </c>
      <c r="E1068" s="6" t="s">
        <v>494</v>
      </c>
      <c r="F1068" s="6" t="s">
        <v>455</v>
      </c>
      <c r="G1068" s="6" t="s">
        <v>452</v>
      </c>
    </row>
    <row r="1069" spans="1:7" ht="28" customHeight="1">
      <c r="A1069" s="6">
        <v>869</v>
      </c>
      <c r="B1069" s="6" t="s">
        <v>1239</v>
      </c>
      <c r="C1069" s="7" t="s">
        <v>1240</v>
      </c>
      <c r="D1069" s="6" t="s">
        <v>1306</v>
      </c>
      <c r="E1069" s="6" t="s">
        <v>494</v>
      </c>
      <c r="F1069" s="6" t="s">
        <v>455</v>
      </c>
      <c r="G1069" s="6" t="s">
        <v>452</v>
      </c>
    </row>
    <row r="1070" spans="1:7" ht="28" customHeight="1">
      <c r="A1070" s="6">
        <v>869</v>
      </c>
      <c r="B1070" s="6" t="s">
        <v>1239</v>
      </c>
      <c r="C1070" s="7" t="s">
        <v>1240</v>
      </c>
      <c r="D1070" s="6" t="s">
        <v>1307</v>
      </c>
      <c r="E1070" s="6" t="s">
        <v>494</v>
      </c>
      <c r="F1070" s="6" t="s">
        <v>455</v>
      </c>
      <c r="G1070" s="6" t="s">
        <v>452</v>
      </c>
    </row>
    <row r="1071" spans="1:7" ht="28" customHeight="1">
      <c r="A1071" s="6">
        <v>869</v>
      </c>
      <c r="B1071" s="6" t="s">
        <v>1239</v>
      </c>
      <c r="C1071" s="7" t="s">
        <v>1240</v>
      </c>
      <c r="D1071" s="6" t="s">
        <v>1308</v>
      </c>
      <c r="E1071" s="6" t="s">
        <v>494</v>
      </c>
      <c r="F1071" s="6" t="s">
        <v>455</v>
      </c>
      <c r="G1071" s="6" t="s">
        <v>452</v>
      </c>
    </row>
    <row r="1072" spans="1:7" ht="28" customHeight="1">
      <c r="A1072" s="6">
        <v>869</v>
      </c>
      <c r="B1072" s="6" t="s">
        <v>1239</v>
      </c>
      <c r="C1072" s="7" t="s">
        <v>1240</v>
      </c>
      <c r="D1072" s="6" t="s">
        <v>1309</v>
      </c>
      <c r="E1072" s="6" t="s">
        <v>494</v>
      </c>
      <c r="F1072" s="6" t="s">
        <v>455</v>
      </c>
      <c r="G1072" s="6" t="s">
        <v>452</v>
      </c>
    </row>
    <row r="1073" spans="1:7" ht="28" customHeight="1">
      <c r="A1073" s="6">
        <v>869</v>
      </c>
      <c r="B1073" s="6" t="s">
        <v>1239</v>
      </c>
      <c r="C1073" s="7" t="s">
        <v>1240</v>
      </c>
      <c r="D1073" s="6" t="s">
        <v>1310</v>
      </c>
      <c r="E1073" s="6" t="s">
        <v>494</v>
      </c>
      <c r="F1073" s="6" t="s">
        <v>455</v>
      </c>
      <c r="G1073" s="6" t="s">
        <v>452</v>
      </c>
    </row>
    <row r="1074" spans="1:7" ht="28" customHeight="1">
      <c r="A1074" s="6">
        <v>869</v>
      </c>
      <c r="B1074" s="6" t="s">
        <v>1239</v>
      </c>
      <c r="C1074" s="7" t="s">
        <v>1240</v>
      </c>
      <c r="D1074" s="6" t="s">
        <v>1311</v>
      </c>
      <c r="E1074" s="6" t="s">
        <v>494</v>
      </c>
      <c r="F1074" s="6" t="s">
        <v>455</v>
      </c>
      <c r="G1074" s="6" t="s">
        <v>452</v>
      </c>
    </row>
    <row r="1075" spans="1:7" ht="28" customHeight="1">
      <c r="A1075" s="6">
        <v>869</v>
      </c>
      <c r="B1075" s="6" t="s">
        <v>1239</v>
      </c>
      <c r="C1075" s="7" t="s">
        <v>1240</v>
      </c>
      <c r="D1075" s="6" t="s">
        <v>1312</v>
      </c>
      <c r="E1075" s="6" t="s">
        <v>494</v>
      </c>
      <c r="F1075" s="6" t="s">
        <v>455</v>
      </c>
      <c r="G1075" s="6" t="s">
        <v>452</v>
      </c>
    </row>
    <row r="1076" spans="1:7" ht="28" customHeight="1">
      <c r="A1076" s="6">
        <v>869</v>
      </c>
      <c r="B1076" s="6" t="s">
        <v>1239</v>
      </c>
      <c r="C1076" s="7" t="s">
        <v>1240</v>
      </c>
      <c r="D1076" s="6" t="s">
        <v>1313</v>
      </c>
      <c r="E1076" s="6" t="s">
        <v>494</v>
      </c>
      <c r="F1076" s="6" t="s">
        <v>455</v>
      </c>
      <c r="G1076" s="6" t="s">
        <v>452</v>
      </c>
    </row>
    <row r="1077" spans="1:7" ht="28" customHeight="1">
      <c r="A1077" s="6">
        <v>869</v>
      </c>
      <c r="B1077" s="6" t="s">
        <v>1239</v>
      </c>
      <c r="C1077" s="7" t="s">
        <v>1240</v>
      </c>
      <c r="D1077" s="6" t="s">
        <v>1314</v>
      </c>
      <c r="E1077" s="6" t="s">
        <v>494</v>
      </c>
      <c r="F1077" s="6" t="s">
        <v>455</v>
      </c>
      <c r="G1077" s="6" t="s">
        <v>452</v>
      </c>
    </row>
    <row r="1078" spans="1:7" ht="28" customHeight="1">
      <c r="A1078" s="6">
        <v>869</v>
      </c>
      <c r="B1078" s="6" t="s">
        <v>1239</v>
      </c>
      <c r="C1078" s="7" t="s">
        <v>1240</v>
      </c>
      <c r="D1078" s="6" t="s">
        <v>1315</v>
      </c>
      <c r="E1078" s="6" t="s">
        <v>494</v>
      </c>
      <c r="F1078" s="6" t="s">
        <v>455</v>
      </c>
      <c r="G1078" s="6" t="s">
        <v>452</v>
      </c>
    </row>
    <row r="1079" spans="1:7" ht="28" customHeight="1">
      <c r="A1079" s="6">
        <v>869</v>
      </c>
      <c r="B1079" s="6" t="s">
        <v>1239</v>
      </c>
      <c r="C1079" s="7" t="s">
        <v>1240</v>
      </c>
      <c r="D1079" s="6" t="s">
        <v>1316</v>
      </c>
      <c r="E1079" s="6" t="s">
        <v>494</v>
      </c>
      <c r="F1079" s="6" t="s">
        <v>455</v>
      </c>
      <c r="G1079" s="6" t="s">
        <v>452</v>
      </c>
    </row>
    <row r="1080" spans="1:7" ht="28" customHeight="1">
      <c r="A1080" s="6">
        <v>869</v>
      </c>
      <c r="B1080" s="6" t="s">
        <v>1239</v>
      </c>
      <c r="C1080" s="7" t="s">
        <v>1240</v>
      </c>
      <c r="D1080" s="6" t="s">
        <v>1317</v>
      </c>
      <c r="E1080" s="6" t="s">
        <v>494</v>
      </c>
      <c r="F1080" s="6" t="s">
        <v>455</v>
      </c>
      <c r="G1080" s="6" t="s">
        <v>452</v>
      </c>
    </row>
    <row r="1081" spans="1:7" ht="28" customHeight="1">
      <c r="A1081" s="6">
        <v>869</v>
      </c>
      <c r="B1081" s="6" t="s">
        <v>1239</v>
      </c>
      <c r="C1081" s="7" t="s">
        <v>1240</v>
      </c>
      <c r="D1081" s="6" t="s">
        <v>1318</v>
      </c>
      <c r="E1081" s="6" t="s">
        <v>494</v>
      </c>
      <c r="F1081" s="6" t="s">
        <v>455</v>
      </c>
      <c r="G1081" s="6" t="s">
        <v>452</v>
      </c>
    </row>
    <row r="1082" spans="1:7" ht="28" customHeight="1">
      <c r="A1082" s="6">
        <v>869</v>
      </c>
      <c r="B1082" s="6" t="s">
        <v>1239</v>
      </c>
      <c r="C1082" s="7" t="s">
        <v>1240</v>
      </c>
      <c r="D1082" s="6" t="s">
        <v>1319</v>
      </c>
      <c r="E1082" s="6" t="s">
        <v>494</v>
      </c>
      <c r="F1082" s="6" t="s">
        <v>455</v>
      </c>
      <c r="G1082" s="6" t="s">
        <v>452</v>
      </c>
    </row>
    <row r="1083" spans="1:7" ht="28" customHeight="1">
      <c r="A1083" s="6">
        <v>869</v>
      </c>
      <c r="B1083" s="6" t="s">
        <v>1239</v>
      </c>
      <c r="C1083" s="7" t="s">
        <v>1240</v>
      </c>
      <c r="D1083" s="6" t="s">
        <v>1320</v>
      </c>
      <c r="E1083" s="6" t="s">
        <v>494</v>
      </c>
      <c r="F1083" s="6" t="s">
        <v>455</v>
      </c>
      <c r="G1083" s="6" t="s">
        <v>452</v>
      </c>
    </row>
    <row r="1084" spans="1:7" ht="28" customHeight="1">
      <c r="A1084" s="6">
        <v>869</v>
      </c>
      <c r="B1084" s="6" t="s">
        <v>1239</v>
      </c>
      <c r="C1084" s="7" t="s">
        <v>1240</v>
      </c>
      <c r="D1084" s="6" t="s">
        <v>1321</v>
      </c>
      <c r="E1084" s="6" t="s">
        <v>494</v>
      </c>
      <c r="F1084" s="6" t="s">
        <v>455</v>
      </c>
      <c r="G1084" s="6" t="s">
        <v>452</v>
      </c>
    </row>
    <row r="1085" spans="1:7" ht="28" customHeight="1">
      <c r="A1085" s="6">
        <v>869</v>
      </c>
      <c r="B1085" s="6" t="s">
        <v>1239</v>
      </c>
      <c r="C1085" s="7" t="s">
        <v>1240</v>
      </c>
      <c r="D1085" s="6" t="s">
        <v>1322</v>
      </c>
      <c r="E1085" s="6" t="s">
        <v>494</v>
      </c>
      <c r="F1085" s="6" t="s">
        <v>455</v>
      </c>
      <c r="G1085" s="6" t="s">
        <v>452</v>
      </c>
    </row>
    <row r="1086" spans="1:7" ht="28" customHeight="1">
      <c r="A1086" s="6">
        <v>869</v>
      </c>
      <c r="B1086" s="6" t="s">
        <v>1239</v>
      </c>
      <c r="C1086" s="7" t="s">
        <v>1240</v>
      </c>
      <c r="D1086" s="6" t="s">
        <v>1323</v>
      </c>
      <c r="E1086" s="6" t="s">
        <v>494</v>
      </c>
      <c r="F1086" s="6" t="s">
        <v>455</v>
      </c>
      <c r="G1086" s="6" t="s">
        <v>452</v>
      </c>
    </row>
    <row r="1087" spans="1:7" ht="28" customHeight="1">
      <c r="A1087" s="6">
        <v>869</v>
      </c>
      <c r="B1087" s="6" t="s">
        <v>1239</v>
      </c>
      <c r="C1087" s="7" t="s">
        <v>1240</v>
      </c>
      <c r="D1087" s="6" t="s">
        <v>1324</v>
      </c>
      <c r="E1087" s="6" t="s">
        <v>494</v>
      </c>
      <c r="F1087" s="6" t="s">
        <v>455</v>
      </c>
      <c r="G1087" s="6" t="s">
        <v>452</v>
      </c>
    </row>
    <row r="1088" spans="1:7" ht="28" customHeight="1">
      <c r="A1088" s="6">
        <v>869</v>
      </c>
      <c r="B1088" s="6" t="s">
        <v>1239</v>
      </c>
      <c r="C1088" s="7" t="s">
        <v>1240</v>
      </c>
      <c r="D1088" s="6" t="s">
        <v>1325</v>
      </c>
      <c r="E1088" s="6" t="s">
        <v>494</v>
      </c>
      <c r="F1088" s="6" t="s">
        <v>455</v>
      </c>
      <c r="G1088" s="6" t="s">
        <v>452</v>
      </c>
    </row>
    <row r="1089" spans="1:7" ht="28" customHeight="1">
      <c r="A1089" s="6">
        <v>869</v>
      </c>
      <c r="B1089" s="6" t="s">
        <v>1239</v>
      </c>
      <c r="C1089" s="7" t="s">
        <v>1240</v>
      </c>
      <c r="D1089" s="6" t="s">
        <v>1326</v>
      </c>
      <c r="E1089" s="6" t="s">
        <v>494</v>
      </c>
      <c r="F1089" s="6" t="s">
        <v>455</v>
      </c>
      <c r="G1089" s="6" t="s">
        <v>452</v>
      </c>
    </row>
    <row r="1090" spans="1:7" ht="28" customHeight="1">
      <c r="A1090" s="6">
        <v>869</v>
      </c>
      <c r="B1090" s="6" t="s">
        <v>1239</v>
      </c>
      <c r="C1090" s="7" t="s">
        <v>1240</v>
      </c>
      <c r="D1090" s="6" t="s">
        <v>1327</v>
      </c>
      <c r="E1090" s="6" t="s">
        <v>494</v>
      </c>
      <c r="F1090" s="6" t="s">
        <v>455</v>
      </c>
      <c r="G1090" s="6" t="s">
        <v>452</v>
      </c>
    </row>
    <row r="1091" spans="1:7" ht="28" customHeight="1">
      <c r="A1091" s="6">
        <v>869</v>
      </c>
      <c r="B1091" s="6" t="s">
        <v>1239</v>
      </c>
      <c r="C1091" s="7" t="s">
        <v>1240</v>
      </c>
      <c r="D1091" s="6" t="s">
        <v>1328</v>
      </c>
      <c r="E1091" s="6" t="s">
        <v>494</v>
      </c>
      <c r="F1091" s="6" t="s">
        <v>455</v>
      </c>
      <c r="G1091" s="6" t="s">
        <v>452</v>
      </c>
    </row>
    <row r="1092" spans="1:7" ht="28" customHeight="1">
      <c r="A1092" s="6">
        <v>869</v>
      </c>
      <c r="B1092" s="6" t="s">
        <v>1239</v>
      </c>
      <c r="C1092" s="7" t="s">
        <v>1240</v>
      </c>
      <c r="D1092" s="6" t="s">
        <v>1329</v>
      </c>
      <c r="E1092" s="6" t="s">
        <v>494</v>
      </c>
      <c r="F1092" s="6" t="s">
        <v>455</v>
      </c>
      <c r="G1092" s="6" t="s">
        <v>452</v>
      </c>
    </row>
    <row r="1093" spans="1:7" ht="28" customHeight="1">
      <c r="A1093" s="6">
        <v>869</v>
      </c>
      <c r="B1093" s="6" t="s">
        <v>1239</v>
      </c>
      <c r="C1093" s="7" t="s">
        <v>1240</v>
      </c>
      <c r="D1093" s="6" t="s">
        <v>1330</v>
      </c>
      <c r="E1093" s="6" t="s">
        <v>494</v>
      </c>
      <c r="F1093" s="6" t="s">
        <v>455</v>
      </c>
      <c r="G1093" s="6" t="s">
        <v>452</v>
      </c>
    </row>
    <row r="1094" spans="1:7" ht="28" customHeight="1">
      <c r="A1094" s="6">
        <v>869</v>
      </c>
      <c r="B1094" s="6" t="s">
        <v>1239</v>
      </c>
      <c r="C1094" s="7" t="s">
        <v>1240</v>
      </c>
      <c r="D1094" s="6" t="s">
        <v>1331</v>
      </c>
      <c r="E1094" s="6" t="s">
        <v>494</v>
      </c>
      <c r="F1094" s="6" t="s">
        <v>455</v>
      </c>
      <c r="G1094" s="6" t="s">
        <v>452</v>
      </c>
    </row>
    <row r="1095" spans="1:7" ht="28" customHeight="1">
      <c r="A1095" s="6">
        <v>869</v>
      </c>
      <c r="B1095" s="6" t="s">
        <v>1239</v>
      </c>
      <c r="C1095" s="7" t="s">
        <v>1240</v>
      </c>
      <c r="D1095" s="6" t="s">
        <v>1332</v>
      </c>
      <c r="E1095" s="6" t="s">
        <v>494</v>
      </c>
      <c r="F1095" s="6" t="s">
        <v>455</v>
      </c>
      <c r="G1095" s="6" t="s">
        <v>452</v>
      </c>
    </row>
    <row r="1096" spans="1:7" ht="28" customHeight="1">
      <c r="A1096" s="6">
        <v>869</v>
      </c>
      <c r="B1096" s="6" t="s">
        <v>1239</v>
      </c>
      <c r="C1096" s="7" t="s">
        <v>1240</v>
      </c>
      <c r="D1096" s="6" t="s">
        <v>1333</v>
      </c>
      <c r="E1096" s="6" t="s">
        <v>494</v>
      </c>
      <c r="F1096" s="6" t="s">
        <v>455</v>
      </c>
      <c r="G1096" s="6" t="s">
        <v>452</v>
      </c>
    </row>
    <row r="1097" spans="1:7" ht="28" customHeight="1">
      <c r="A1097" s="6">
        <v>869</v>
      </c>
      <c r="B1097" s="6" t="s">
        <v>1239</v>
      </c>
      <c r="C1097" s="7" t="s">
        <v>1240</v>
      </c>
      <c r="D1097" s="6" t="s">
        <v>1334</v>
      </c>
      <c r="E1097" s="6" t="s">
        <v>494</v>
      </c>
      <c r="F1097" s="6" t="s">
        <v>455</v>
      </c>
      <c r="G1097" s="6" t="s">
        <v>452</v>
      </c>
    </row>
    <row r="1098" spans="1:7" ht="28" customHeight="1">
      <c r="A1098" s="6">
        <v>869</v>
      </c>
      <c r="B1098" s="6" t="s">
        <v>1239</v>
      </c>
      <c r="C1098" s="7" t="s">
        <v>1240</v>
      </c>
      <c r="D1098" s="6" t="s">
        <v>1335</v>
      </c>
      <c r="E1098" s="6" t="s">
        <v>494</v>
      </c>
      <c r="F1098" s="6" t="s">
        <v>455</v>
      </c>
      <c r="G1098" s="6" t="s">
        <v>452</v>
      </c>
    </row>
    <row r="1099" spans="1:7" ht="28" customHeight="1">
      <c r="A1099" s="6">
        <v>869</v>
      </c>
      <c r="B1099" s="6" t="s">
        <v>1239</v>
      </c>
      <c r="C1099" s="7" t="s">
        <v>1240</v>
      </c>
      <c r="D1099" s="6" t="s">
        <v>1336</v>
      </c>
      <c r="E1099" s="6" t="s">
        <v>494</v>
      </c>
      <c r="F1099" s="6" t="s">
        <v>455</v>
      </c>
      <c r="G1099" s="6" t="s">
        <v>452</v>
      </c>
    </row>
    <row r="1100" spans="1:7" ht="28" customHeight="1">
      <c r="A1100" s="6">
        <v>869</v>
      </c>
      <c r="B1100" s="6" t="s">
        <v>1239</v>
      </c>
      <c r="C1100" s="7" t="s">
        <v>1240</v>
      </c>
      <c r="D1100" s="6" t="s">
        <v>1337</v>
      </c>
      <c r="E1100" s="6" t="s">
        <v>494</v>
      </c>
      <c r="F1100" s="6" t="s">
        <v>455</v>
      </c>
      <c r="G1100" s="6" t="s">
        <v>452</v>
      </c>
    </row>
    <row r="1101" spans="1:7" ht="28" customHeight="1">
      <c r="A1101" s="6">
        <v>869</v>
      </c>
      <c r="B1101" s="6" t="s">
        <v>1239</v>
      </c>
      <c r="C1101" s="7" t="s">
        <v>1240</v>
      </c>
      <c r="D1101" s="6" t="s">
        <v>1338</v>
      </c>
      <c r="E1101" s="6" t="s">
        <v>494</v>
      </c>
      <c r="F1101" s="6" t="s">
        <v>455</v>
      </c>
      <c r="G1101" s="6" t="s">
        <v>452</v>
      </c>
    </row>
    <row r="1102" spans="1:7" ht="28" customHeight="1">
      <c r="A1102" s="6">
        <v>869</v>
      </c>
      <c r="B1102" s="6" t="s">
        <v>1239</v>
      </c>
      <c r="C1102" s="7" t="s">
        <v>1240</v>
      </c>
      <c r="D1102" s="6" t="s">
        <v>1339</v>
      </c>
      <c r="E1102" s="6" t="s">
        <v>494</v>
      </c>
      <c r="F1102" s="6" t="s">
        <v>455</v>
      </c>
      <c r="G1102" s="6" t="s">
        <v>452</v>
      </c>
    </row>
    <row r="1103" spans="1:7" ht="28" customHeight="1">
      <c r="A1103" s="6">
        <v>869</v>
      </c>
      <c r="B1103" s="6" t="s">
        <v>1239</v>
      </c>
      <c r="C1103" s="7" t="s">
        <v>1240</v>
      </c>
      <c r="D1103" s="6" t="s">
        <v>1340</v>
      </c>
      <c r="E1103" s="6" t="s">
        <v>494</v>
      </c>
      <c r="F1103" s="6" t="s">
        <v>455</v>
      </c>
      <c r="G1103" s="6" t="s">
        <v>452</v>
      </c>
    </row>
    <row r="1104" spans="1:7" ht="28" customHeight="1">
      <c r="A1104" s="6">
        <v>869</v>
      </c>
      <c r="B1104" s="6" t="s">
        <v>1239</v>
      </c>
      <c r="C1104" s="7" t="s">
        <v>1240</v>
      </c>
      <c r="D1104" s="6" t="s">
        <v>1341</v>
      </c>
      <c r="E1104" s="6" t="s">
        <v>494</v>
      </c>
      <c r="F1104" s="6" t="s">
        <v>455</v>
      </c>
      <c r="G1104" s="6" t="s">
        <v>452</v>
      </c>
    </row>
    <row r="1105" spans="1:7" ht="28" customHeight="1">
      <c r="A1105" s="6">
        <v>869</v>
      </c>
      <c r="B1105" s="6" t="s">
        <v>1239</v>
      </c>
      <c r="C1105" s="7" t="s">
        <v>1240</v>
      </c>
      <c r="D1105" s="6" t="s">
        <v>1342</v>
      </c>
      <c r="E1105" s="6" t="s">
        <v>494</v>
      </c>
      <c r="F1105" s="6" t="s">
        <v>455</v>
      </c>
      <c r="G1105" s="6" t="s">
        <v>452</v>
      </c>
    </row>
    <row r="1106" spans="1:7" ht="28" customHeight="1">
      <c r="A1106" s="6">
        <v>869</v>
      </c>
      <c r="B1106" s="6" t="s">
        <v>1239</v>
      </c>
      <c r="C1106" s="7" t="s">
        <v>1240</v>
      </c>
      <c r="D1106" s="6" t="s">
        <v>1343</v>
      </c>
      <c r="E1106" s="6" t="s">
        <v>494</v>
      </c>
      <c r="F1106" s="6" t="s">
        <v>455</v>
      </c>
      <c r="G1106" s="6" t="s">
        <v>452</v>
      </c>
    </row>
    <row r="1107" spans="1:7" ht="28" customHeight="1">
      <c r="A1107" s="6">
        <v>869</v>
      </c>
      <c r="B1107" s="6" t="s">
        <v>1239</v>
      </c>
      <c r="C1107" s="7" t="s">
        <v>1240</v>
      </c>
      <c r="D1107" s="6" t="s">
        <v>1344</v>
      </c>
      <c r="E1107" s="6" t="s">
        <v>494</v>
      </c>
      <c r="F1107" s="6" t="s">
        <v>455</v>
      </c>
      <c r="G1107" s="6" t="s">
        <v>452</v>
      </c>
    </row>
    <row r="1108" spans="1:7" ht="28" customHeight="1">
      <c r="A1108" s="6">
        <v>869</v>
      </c>
      <c r="B1108" s="6" t="s">
        <v>1239</v>
      </c>
      <c r="C1108" s="7" t="s">
        <v>1240</v>
      </c>
      <c r="D1108" s="6" t="s">
        <v>1345</v>
      </c>
      <c r="E1108" s="6" t="s">
        <v>494</v>
      </c>
      <c r="F1108" s="6" t="s">
        <v>455</v>
      </c>
      <c r="G1108" s="6" t="s">
        <v>452</v>
      </c>
    </row>
    <row r="1109" spans="1:7" ht="28" customHeight="1">
      <c r="A1109" s="6">
        <v>869</v>
      </c>
      <c r="B1109" s="6" t="s">
        <v>1239</v>
      </c>
      <c r="C1109" s="7" t="s">
        <v>1240</v>
      </c>
      <c r="D1109" s="6" t="s">
        <v>1346</v>
      </c>
      <c r="E1109" s="6" t="s">
        <v>494</v>
      </c>
      <c r="F1109" s="6" t="s">
        <v>455</v>
      </c>
      <c r="G1109" s="6" t="s">
        <v>452</v>
      </c>
    </row>
    <row r="1110" spans="1:7" ht="28" customHeight="1">
      <c r="A1110" s="6">
        <v>869</v>
      </c>
      <c r="B1110" s="6" t="s">
        <v>1239</v>
      </c>
      <c r="C1110" s="7" t="s">
        <v>1240</v>
      </c>
      <c r="D1110" s="6" t="s">
        <v>1347</v>
      </c>
      <c r="E1110" s="6" t="s">
        <v>494</v>
      </c>
      <c r="F1110" s="6" t="s">
        <v>455</v>
      </c>
      <c r="G1110" s="6" t="s">
        <v>452</v>
      </c>
    </row>
    <row r="1111" spans="1:7" ht="28" customHeight="1">
      <c r="A1111" s="6">
        <v>869</v>
      </c>
      <c r="B1111" s="6" t="s">
        <v>1239</v>
      </c>
      <c r="C1111" s="7" t="s">
        <v>1240</v>
      </c>
      <c r="D1111" s="6" t="s">
        <v>1348</v>
      </c>
      <c r="E1111" s="6" t="s">
        <v>494</v>
      </c>
      <c r="F1111" s="6" t="s">
        <v>455</v>
      </c>
      <c r="G1111" s="6" t="s">
        <v>452</v>
      </c>
    </row>
    <row r="1112" spans="1:7" ht="28" customHeight="1">
      <c r="A1112" s="6">
        <v>869</v>
      </c>
      <c r="B1112" s="6" t="s">
        <v>1239</v>
      </c>
      <c r="C1112" s="7" t="s">
        <v>1240</v>
      </c>
      <c r="D1112" s="6" t="s">
        <v>1349</v>
      </c>
      <c r="E1112" s="6" t="s">
        <v>494</v>
      </c>
      <c r="F1112" s="6" t="s">
        <v>455</v>
      </c>
      <c r="G1112" s="6" t="s">
        <v>452</v>
      </c>
    </row>
    <row r="1113" spans="1:7" ht="28" customHeight="1">
      <c r="A1113" s="6">
        <v>869</v>
      </c>
      <c r="B1113" s="6" t="s">
        <v>1239</v>
      </c>
      <c r="C1113" s="7" t="s">
        <v>1240</v>
      </c>
      <c r="D1113" s="6" t="s">
        <v>1350</v>
      </c>
      <c r="E1113" s="6" t="s">
        <v>494</v>
      </c>
      <c r="F1113" s="6" t="s">
        <v>455</v>
      </c>
      <c r="G1113" s="6" t="s">
        <v>452</v>
      </c>
    </row>
    <row r="1114" spans="1:7" ht="28" customHeight="1">
      <c r="A1114" s="6">
        <v>869</v>
      </c>
      <c r="B1114" s="6" t="s">
        <v>1239</v>
      </c>
      <c r="C1114" s="7" t="s">
        <v>1240</v>
      </c>
      <c r="D1114" s="6" t="s">
        <v>1351</v>
      </c>
      <c r="E1114" s="6" t="s">
        <v>494</v>
      </c>
      <c r="F1114" s="6" t="s">
        <v>455</v>
      </c>
      <c r="G1114" s="6" t="s">
        <v>452</v>
      </c>
    </row>
    <row r="1115" spans="1:7" ht="28" customHeight="1">
      <c r="A1115" s="6">
        <v>869</v>
      </c>
      <c r="B1115" s="6" t="s">
        <v>1239</v>
      </c>
      <c r="C1115" s="7" t="s">
        <v>1240</v>
      </c>
      <c r="D1115" s="6" t="s">
        <v>1352</v>
      </c>
      <c r="E1115" s="6" t="s">
        <v>494</v>
      </c>
      <c r="F1115" s="6" t="s">
        <v>455</v>
      </c>
      <c r="G1115" s="6" t="s">
        <v>452</v>
      </c>
    </row>
    <row r="1116" spans="1:7" ht="28" customHeight="1">
      <c r="A1116" s="6">
        <v>869</v>
      </c>
      <c r="B1116" s="6" t="s">
        <v>1239</v>
      </c>
      <c r="C1116" s="7" t="s">
        <v>1240</v>
      </c>
      <c r="D1116" s="6" t="s">
        <v>1353</v>
      </c>
      <c r="E1116" s="6" t="s">
        <v>494</v>
      </c>
      <c r="F1116" s="6" t="s">
        <v>455</v>
      </c>
      <c r="G1116" s="6" t="s">
        <v>452</v>
      </c>
    </row>
    <row r="1117" spans="1:7" ht="28" customHeight="1">
      <c r="A1117" s="6">
        <v>869</v>
      </c>
      <c r="B1117" s="6" t="s">
        <v>1239</v>
      </c>
      <c r="C1117" s="7" t="s">
        <v>1240</v>
      </c>
      <c r="D1117" s="6" t="s">
        <v>1354</v>
      </c>
      <c r="E1117" s="6" t="s">
        <v>494</v>
      </c>
      <c r="F1117" s="6" t="s">
        <v>455</v>
      </c>
      <c r="G1117" s="6" t="s">
        <v>452</v>
      </c>
    </row>
    <row r="1118" spans="1:7" ht="28" customHeight="1">
      <c r="A1118" s="6">
        <v>869</v>
      </c>
      <c r="B1118" s="6" t="s">
        <v>1239</v>
      </c>
      <c r="C1118" s="7" t="s">
        <v>1240</v>
      </c>
      <c r="D1118" s="6" t="s">
        <v>1355</v>
      </c>
      <c r="E1118" s="6" t="s">
        <v>494</v>
      </c>
      <c r="F1118" s="6" t="s">
        <v>455</v>
      </c>
      <c r="G1118" s="6" t="s">
        <v>452</v>
      </c>
    </row>
    <row r="1119" spans="1:7" ht="28" customHeight="1">
      <c r="A1119" s="6">
        <v>869</v>
      </c>
      <c r="B1119" s="6" t="s">
        <v>1239</v>
      </c>
      <c r="C1119" s="7" t="s">
        <v>1240</v>
      </c>
      <c r="D1119" s="6" t="s">
        <v>1356</v>
      </c>
      <c r="E1119" s="6" t="s">
        <v>494</v>
      </c>
      <c r="F1119" s="6" t="s">
        <v>455</v>
      </c>
      <c r="G1119" s="6" t="s">
        <v>452</v>
      </c>
    </row>
    <row r="1120" spans="1:7" ht="28" customHeight="1">
      <c r="A1120" s="6">
        <v>869</v>
      </c>
      <c r="B1120" s="6" t="s">
        <v>1239</v>
      </c>
      <c r="C1120" s="7" t="s">
        <v>1240</v>
      </c>
      <c r="D1120" s="6" t="s">
        <v>1357</v>
      </c>
      <c r="E1120" s="6" t="s">
        <v>494</v>
      </c>
      <c r="F1120" s="6" t="s">
        <v>455</v>
      </c>
      <c r="G1120" s="6" t="s">
        <v>452</v>
      </c>
    </row>
    <row r="1121" spans="1:7" ht="28" customHeight="1">
      <c r="A1121" s="6">
        <v>869</v>
      </c>
      <c r="B1121" s="6" t="s">
        <v>1239</v>
      </c>
      <c r="C1121" s="7" t="s">
        <v>1240</v>
      </c>
      <c r="D1121" s="6" t="s">
        <v>1358</v>
      </c>
      <c r="E1121" s="6" t="s">
        <v>494</v>
      </c>
      <c r="F1121" s="6" t="s">
        <v>455</v>
      </c>
      <c r="G1121" s="6" t="s">
        <v>452</v>
      </c>
    </row>
    <row r="1122" spans="1:7" ht="28" customHeight="1">
      <c r="A1122" s="6">
        <v>869</v>
      </c>
      <c r="B1122" s="6" t="s">
        <v>1239</v>
      </c>
      <c r="C1122" s="7" t="s">
        <v>1240</v>
      </c>
      <c r="D1122" s="6" t="s">
        <v>1359</v>
      </c>
      <c r="E1122" s="6" t="s">
        <v>494</v>
      </c>
      <c r="F1122" s="6" t="s">
        <v>455</v>
      </c>
      <c r="G1122" s="6" t="s">
        <v>452</v>
      </c>
    </row>
    <row r="1123" spans="1:7" ht="28" customHeight="1">
      <c r="A1123" s="6">
        <v>869</v>
      </c>
      <c r="B1123" s="6" t="s">
        <v>1239</v>
      </c>
      <c r="C1123" s="7" t="s">
        <v>1240</v>
      </c>
      <c r="D1123" s="6" t="s">
        <v>1360</v>
      </c>
      <c r="E1123" s="6" t="s">
        <v>494</v>
      </c>
      <c r="F1123" s="6" t="s">
        <v>455</v>
      </c>
      <c r="G1123" s="6" t="s">
        <v>452</v>
      </c>
    </row>
    <row r="1124" spans="1:7" ht="28" customHeight="1">
      <c r="A1124" s="6">
        <v>869</v>
      </c>
      <c r="B1124" s="6" t="s">
        <v>1239</v>
      </c>
      <c r="C1124" s="7" t="s">
        <v>1240</v>
      </c>
      <c r="D1124" s="6" t="s">
        <v>1361</v>
      </c>
      <c r="E1124" s="6" t="s">
        <v>494</v>
      </c>
      <c r="F1124" s="6" t="s">
        <v>455</v>
      </c>
      <c r="G1124" s="6" t="s">
        <v>452</v>
      </c>
    </row>
    <row r="1125" spans="1:7" ht="28" customHeight="1">
      <c r="A1125" s="6">
        <v>869</v>
      </c>
      <c r="B1125" s="6" t="s">
        <v>1239</v>
      </c>
      <c r="C1125" s="7" t="s">
        <v>1240</v>
      </c>
      <c r="D1125" s="6" t="s">
        <v>1362</v>
      </c>
      <c r="E1125" s="6" t="s">
        <v>494</v>
      </c>
      <c r="F1125" s="6" t="s">
        <v>455</v>
      </c>
      <c r="G1125" s="6" t="s">
        <v>452</v>
      </c>
    </row>
    <row r="1126" spans="1:7" ht="28" customHeight="1">
      <c r="A1126" s="8">
        <v>870</v>
      </c>
      <c r="B1126" s="8" t="s">
        <v>1239</v>
      </c>
      <c r="C1126" s="9" t="s">
        <v>1240</v>
      </c>
      <c r="D1126" s="8" t="s">
        <v>1363</v>
      </c>
      <c r="E1126" s="8" t="s">
        <v>515</v>
      </c>
      <c r="F1126" s="8" t="s">
        <v>455</v>
      </c>
      <c r="G1126" s="8" t="s">
        <v>542</v>
      </c>
    </row>
    <row r="1127" spans="1:7" ht="28" customHeight="1">
      <c r="A1127" s="6">
        <v>871</v>
      </c>
      <c r="B1127" s="6" t="s">
        <v>1239</v>
      </c>
      <c r="C1127" s="7" t="s">
        <v>1240</v>
      </c>
      <c r="D1127" s="6" t="s">
        <v>1364</v>
      </c>
      <c r="E1127" s="6" t="s">
        <v>471</v>
      </c>
      <c r="F1127" s="6" t="s">
        <v>455</v>
      </c>
      <c r="G1127" s="6" t="s">
        <v>542</v>
      </c>
    </row>
    <row r="1128" spans="1:7" ht="28" customHeight="1">
      <c r="A1128" s="8">
        <v>872</v>
      </c>
      <c r="B1128" s="8" t="s">
        <v>1239</v>
      </c>
      <c r="C1128" s="9" t="s">
        <v>1240</v>
      </c>
      <c r="D1128" s="8" t="s">
        <v>1365</v>
      </c>
      <c r="E1128" s="10" t="s">
        <v>485</v>
      </c>
      <c r="F1128" s="8" t="s">
        <v>460</v>
      </c>
      <c r="G1128" s="8" t="s">
        <v>452</v>
      </c>
    </row>
    <row r="1129" spans="1:7" ht="28" customHeight="1">
      <c r="A1129" s="6">
        <v>873</v>
      </c>
      <c r="B1129" s="6" t="s">
        <v>1239</v>
      </c>
      <c r="C1129" s="7" t="s">
        <v>1240</v>
      </c>
      <c r="D1129" s="6" t="s">
        <v>1366</v>
      </c>
      <c r="E1129" s="13" t="s">
        <v>485</v>
      </c>
      <c r="F1129" s="6" t="s">
        <v>460</v>
      </c>
      <c r="G1129" s="6" t="s">
        <v>452</v>
      </c>
    </row>
    <row r="1130" spans="1:7" ht="28" customHeight="1">
      <c r="A1130" s="8">
        <v>874</v>
      </c>
      <c r="B1130" s="8" t="s">
        <v>1239</v>
      </c>
      <c r="C1130" s="9" t="s">
        <v>1240</v>
      </c>
      <c r="D1130" s="8" t="s">
        <v>1367</v>
      </c>
      <c r="E1130" s="8" t="s">
        <v>519</v>
      </c>
      <c r="F1130" s="8" t="s">
        <v>455</v>
      </c>
      <c r="G1130" s="8" t="s">
        <v>542</v>
      </c>
    </row>
    <row r="1131" spans="1:7" ht="28" customHeight="1">
      <c r="A1131" s="6">
        <v>875</v>
      </c>
      <c r="B1131" s="6" t="s">
        <v>1239</v>
      </c>
      <c r="C1131" s="7" t="s">
        <v>1240</v>
      </c>
      <c r="D1131" s="6" t="s">
        <v>1368</v>
      </c>
      <c r="E1131" s="6" t="s">
        <v>485</v>
      </c>
      <c r="F1131" s="6" t="s">
        <v>455</v>
      </c>
      <c r="G1131" s="6" t="s">
        <v>542</v>
      </c>
    </row>
    <row r="1132" spans="1:7" ht="28" customHeight="1">
      <c r="A1132" s="8">
        <v>876</v>
      </c>
      <c r="B1132" s="8" t="s">
        <v>1239</v>
      </c>
      <c r="C1132" s="9" t="s">
        <v>1240</v>
      </c>
      <c r="D1132" s="10" t="s">
        <v>2522</v>
      </c>
      <c r="E1132" s="10" t="s">
        <v>481</v>
      </c>
      <c r="F1132" s="8" t="s">
        <v>462</v>
      </c>
      <c r="G1132" s="8" t="s">
        <v>542</v>
      </c>
    </row>
    <row r="1133" spans="1:7" ht="28" customHeight="1">
      <c r="A1133" s="6">
        <v>877</v>
      </c>
      <c r="B1133" s="6" t="s">
        <v>1239</v>
      </c>
      <c r="C1133" s="7" t="s">
        <v>1240</v>
      </c>
      <c r="D1133" s="6" t="s">
        <v>1369</v>
      </c>
      <c r="E1133" s="13" t="s">
        <v>471</v>
      </c>
      <c r="F1133" s="6" t="s">
        <v>465</v>
      </c>
      <c r="G1133" s="6" t="s">
        <v>542</v>
      </c>
    </row>
    <row r="1134" spans="1:7" ht="28" customHeight="1">
      <c r="A1134" s="8">
        <v>878</v>
      </c>
      <c r="B1134" s="8" t="s">
        <v>1239</v>
      </c>
      <c r="C1134" s="9" t="s">
        <v>1240</v>
      </c>
      <c r="D1134" s="8" t="s">
        <v>1370</v>
      </c>
      <c r="E1134" s="8" t="s">
        <v>486</v>
      </c>
      <c r="F1134" s="8" t="s">
        <v>455</v>
      </c>
      <c r="G1134" s="8" t="s">
        <v>452</v>
      </c>
    </row>
    <row r="1135" spans="1:7" ht="28" customHeight="1">
      <c r="A1135" s="6">
        <v>879</v>
      </c>
      <c r="B1135" s="6" t="s">
        <v>1239</v>
      </c>
      <c r="C1135" s="7" t="s">
        <v>1240</v>
      </c>
      <c r="D1135" s="6" t="s">
        <v>1371</v>
      </c>
      <c r="E1135" s="6" t="s">
        <v>486</v>
      </c>
      <c r="F1135" s="6" t="s">
        <v>455</v>
      </c>
      <c r="G1135" s="6" t="s">
        <v>452</v>
      </c>
    </row>
    <row r="1136" spans="1:7" ht="28" customHeight="1">
      <c r="A1136" s="8">
        <v>880</v>
      </c>
      <c r="B1136" s="8" t="s">
        <v>1239</v>
      </c>
      <c r="C1136" s="9" t="s">
        <v>1240</v>
      </c>
      <c r="D1136" s="8" t="s">
        <v>1372</v>
      </c>
      <c r="E1136" s="10" t="s">
        <v>471</v>
      </c>
      <c r="F1136" s="8" t="s">
        <v>561</v>
      </c>
      <c r="G1136" s="8" t="s">
        <v>542</v>
      </c>
    </row>
    <row r="1137" spans="1:7" ht="28" customHeight="1">
      <c r="A1137" s="6">
        <v>881</v>
      </c>
      <c r="B1137" s="6" t="s">
        <v>1239</v>
      </c>
      <c r="C1137" s="7" t="s">
        <v>1240</v>
      </c>
      <c r="D1137" s="6" t="s">
        <v>1373</v>
      </c>
      <c r="E1137" s="13" t="s">
        <v>471</v>
      </c>
      <c r="F1137" s="6" t="s">
        <v>485</v>
      </c>
      <c r="G1137" s="6" t="s">
        <v>542</v>
      </c>
    </row>
    <row r="1138" spans="1:7" ht="28" customHeight="1">
      <c r="A1138" s="8">
        <v>882</v>
      </c>
      <c r="B1138" s="8" t="s">
        <v>1239</v>
      </c>
      <c r="C1138" s="9" t="s">
        <v>1240</v>
      </c>
      <c r="D1138" s="8" t="s">
        <v>1374</v>
      </c>
      <c r="E1138" s="10" t="s">
        <v>457</v>
      </c>
      <c r="F1138" s="8" t="s">
        <v>561</v>
      </c>
      <c r="G1138" s="8" t="s">
        <v>542</v>
      </c>
    </row>
    <row r="1139" spans="1:7" ht="28" customHeight="1">
      <c r="A1139" s="6">
        <v>883</v>
      </c>
      <c r="B1139" s="6" t="s">
        <v>1239</v>
      </c>
      <c r="C1139" s="7" t="s">
        <v>1240</v>
      </c>
      <c r="D1139" s="6" t="s">
        <v>1375</v>
      </c>
      <c r="E1139" s="13" t="s">
        <v>457</v>
      </c>
      <c r="F1139" s="6" t="s">
        <v>485</v>
      </c>
      <c r="G1139" s="6" t="s">
        <v>542</v>
      </c>
    </row>
    <row r="1140" spans="1:7" ht="28" customHeight="1">
      <c r="A1140" s="8">
        <v>884</v>
      </c>
      <c r="B1140" s="8" t="s">
        <v>1239</v>
      </c>
      <c r="C1140" s="9" t="s">
        <v>1240</v>
      </c>
      <c r="D1140" s="8" t="s">
        <v>1376</v>
      </c>
      <c r="E1140" s="10" t="s">
        <v>486</v>
      </c>
      <c r="F1140" s="8" t="s">
        <v>561</v>
      </c>
      <c r="G1140" s="8" t="s">
        <v>452</v>
      </c>
    </row>
    <row r="1141" spans="1:7" ht="28" customHeight="1">
      <c r="A1141" s="6">
        <v>885</v>
      </c>
      <c r="B1141" s="6" t="s">
        <v>1239</v>
      </c>
      <c r="C1141" s="7" t="s">
        <v>1240</v>
      </c>
      <c r="D1141" s="6" t="s">
        <v>1377</v>
      </c>
      <c r="E1141" s="13" t="s">
        <v>561</v>
      </c>
      <c r="F1141" s="6" t="s">
        <v>552</v>
      </c>
      <c r="G1141" s="6" t="s">
        <v>452</v>
      </c>
    </row>
    <row r="1142" spans="1:7" ht="28" customHeight="1">
      <c r="A1142" s="8">
        <v>886</v>
      </c>
      <c r="B1142" s="8" t="s">
        <v>1239</v>
      </c>
      <c r="C1142" s="9" t="s">
        <v>1240</v>
      </c>
      <c r="D1142" s="8" t="s">
        <v>1378</v>
      </c>
      <c r="E1142" s="10" t="s">
        <v>561</v>
      </c>
      <c r="F1142" s="8" t="s">
        <v>552</v>
      </c>
      <c r="G1142" s="8" t="s">
        <v>452</v>
      </c>
    </row>
    <row r="1143" spans="1:7" ht="28" customHeight="1">
      <c r="A1143" s="6">
        <v>887</v>
      </c>
      <c r="B1143" s="6" t="s">
        <v>1239</v>
      </c>
      <c r="C1143" s="7" t="s">
        <v>1240</v>
      </c>
      <c r="D1143" s="6" t="s">
        <v>1379</v>
      </c>
      <c r="E1143" s="13" t="s">
        <v>561</v>
      </c>
      <c r="F1143" s="6" t="s">
        <v>552</v>
      </c>
      <c r="G1143" s="6" t="s">
        <v>452</v>
      </c>
    </row>
    <row r="1144" spans="1:7" ht="28" customHeight="1">
      <c r="A1144" s="8">
        <v>888</v>
      </c>
      <c r="B1144" s="8" t="s">
        <v>1239</v>
      </c>
      <c r="C1144" s="9" t="s">
        <v>1240</v>
      </c>
      <c r="D1144" s="8" t="s">
        <v>1380</v>
      </c>
      <c r="E1144" s="8" t="s">
        <v>494</v>
      </c>
      <c r="F1144" s="8" t="s">
        <v>455</v>
      </c>
      <c r="G1144" s="8" t="s">
        <v>542</v>
      </c>
    </row>
    <row r="1145" spans="1:7" ht="28" customHeight="1">
      <c r="A1145" s="6">
        <v>889</v>
      </c>
      <c r="B1145" s="6" t="s">
        <v>1239</v>
      </c>
      <c r="C1145" s="7" t="s">
        <v>1240</v>
      </c>
      <c r="D1145" s="6" t="s">
        <v>1381</v>
      </c>
      <c r="E1145" s="6" t="s">
        <v>515</v>
      </c>
      <c r="F1145" s="6" t="s">
        <v>455</v>
      </c>
      <c r="G1145" s="6" t="s">
        <v>542</v>
      </c>
    </row>
    <row r="1146" spans="1:7" ht="28" customHeight="1">
      <c r="A1146" s="8">
        <v>890</v>
      </c>
      <c r="B1146" s="8" t="s">
        <v>1239</v>
      </c>
      <c r="C1146" s="9" t="s">
        <v>1240</v>
      </c>
      <c r="D1146" s="8" t="s">
        <v>1382</v>
      </c>
      <c r="E1146" s="10" t="s">
        <v>451</v>
      </c>
      <c r="F1146" s="8" t="s">
        <v>561</v>
      </c>
      <c r="G1146" s="8" t="s">
        <v>542</v>
      </c>
    </row>
    <row r="1147" spans="1:7" ht="28" customHeight="1">
      <c r="A1147" s="6">
        <v>891</v>
      </c>
      <c r="B1147" s="6" t="s">
        <v>1239</v>
      </c>
      <c r="C1147" s="7" t="s">
        <v>1240</v>
      </c>
      <c r="D1147" s="6" t="s">
        <v>1383</v>
      </c>
      <c r="E1147" s="6" t="s">
        <v>515</v>
      </c>
      <c r="F1147" s="6" t="s">
        <v>455</v>
      </c>
      <c r="G1147" s="6" t="s">
        <v>452</v>
      </c>
    </row>
    <row r="1148" spans="1:7" ht="28" customHeight="1">
      <c r="A1148" s="8">
        <v>892</v>
      </c>
      <c r="B1148" s="8" t="s">
        <v>1239</v>
      </c>
      <c r="C1148" s="9" t="s">
        <v>1240</v>
      </c>
      <c r="D1148" s="8" t="s">
        <v>1384</v>
      </c>
      <c r="E1148" s="10" t="s">
        <v>515</v>
      </c>
      <c r="F1148" s="8" t="s">
        <v>465</v>
      </c>
      <c r="G1148" s="8" t="s">
        <v>452</v>
      </c>
    </row>
    <row r="1149" spans="1:7" ht="28" customHeight="1">
      <c r="A1149" s="8">
        <v>892</v>
      </c>
      <c r="B1149" s="8" t="s">
        <v>1239</v>
      </c>
      <c r="C1149" s="9" t="s">
        <v>1240</v>
      </c>
      <c r="D1149" s="8" t="s">
        <v>1385</v>
      </c>
      <c r="E1149" s="8" t="s">
        <v>515</v>
      </c>
      <c r="F1149" s="8" t="s">
        <v>457</v>
      </c>
      <c r="G1149" s="8" t="s">
        <v>452</v>
      </c>
    </row>
    <row r="1150" spans="1:7" ht="28" customHeight="1">
      <c r="A1150" s="6">
        <v>893</v>
      </c>
      <c r="B1150" s="6" t="s">
        <v>1239</v>
      </c>
      <c r="C1150" s="7" t="s">
        <v>1240</v>
      </c>
      <c r="D1150" s="6" t="s">
        <v>1386</v>
      </c>
      <c r="E1150" s="13" t="s">
        <v>465</v>
      </c>
      <c r="F1150" s="6" t="s">
        <v>450</v>
      </c>
      <c r="G1150" s="6" t="s">
        <v>542</v>
      </c>
    </row>
    <row r="1151" spans="1:7" ht="28" customHeight="1">
      <c r="A1151" s="6">
        <v>893</v>
      </c>
      <c r="B1151" s="6" t="s">
        <v>1239</v>
      </c>
      <c r="C1151" s="7" t="s">
        <v>1240</v>
      </c>
      <c r="D1151" s="6" t="s">
        <v>1387</v>
      </c>
      <c r="E1151" s="6" t="s">
        <v>465</v>
      </c>
      <c r="F1151" s="6" t="s">
        <v>450</v>
      </c>
      <c r="G1151" s="6" t="s">
        <v>542</v>
      </c>
    </row>
    <row r="1152" spans="1:7" ht="28" customHeight="1">
      <c r="A1152" s="8">
        <v>894</v>
      </c>
      <c r="B1152" s="8" t="s">
        <v>1239</v>
      </c>
      <c r="C1152" s="9" t="s">
        <v>1240</v>
      </c>
      <c r="D1152" s="8" t="s">
        <v>1388</v>
      </c>
      <c r="E1152" s="8" t="s">
        <v>471</v>
      </c>
      <c r="F1152" s="8" t="s">
        <v>455</v>
      </c>
      <c r="G1152" s="8" t="s">
        <v>542</v>
      </c>
    </row>
    <row r="1153" spans="1:7" ht="28" customHeight="1">
      <c r="A1153" s="6">
        <v>895</v>
      </c>
      <c r="B1153" s="6" t="s">
        <v>1239</v>
      </c>
      <c r="C1153" s="7" t="s">
        <v>1240</v>
      </c>
      <c r="D1153" s="6" t="s">
        <v>1389</v>
      </c>
      <c r="E1153" s="6" t="s">
        <v>561</v>
      </c>
      <c r="F1153" s="6" t="s">
        <v>455</v>
      </c>
      <c r="G1153" s="6" t="s">
        <v>542</v>
      </c>
    </row>
    <row r="1154" spans="1:7" ht="28" customHeight="1">
      <c r="A1154" s="8">
        <v>896</v>
      </c>
      <c r="B1154" s="8" t="s">
        <v>1239</v>
      </c>
      <c r="C1154" s="9" t="s">
        <v>1240</v>
      </c>
      <c r="D1154" s="8" t="s">
        <v>1390</v>
      </c>
      <c r="E1154" s="8" t="s">
        <v>485</v>
      </c>
      <c r="F1154" s="8" t="s">
        <v>455</v>
      </c>
      <c r="G1154" s="8" t="s">
        <v>542</v>
      </c>
    </row>
    <row r="1155" spans="1:7" ht="28" customHeight="1">
      <c r="A1155" s="6">
        <v>897</v>
      </c>
      <c r="B1155" s="6" t="s">
        <v>1239</v>
      </c>
      <c r="C1155" s="7" t="s">
        <v>1240</v>
      </c>
      <c r="D1155" s="6" t="s">
        <v>1391</v>
      </c>
      <c r="E1155" s="6" t="s">
        <v>552</v>
      </c>
      <c r="F1155" s="6" t="s">
        <v>455</v>
      </c>
      <c r="G1155" s="6" t="s">
        <v>542</v>
      </c>
    </row>
    <row r="1156" spans="1:7" ht="28" customHeight="1">
      <c r="A1156" s="8">
        <v>898</v>
      </c>
      <c r="B1156" s="8" t="s">
        <v>1239</v>
      </c>
      <c r="C1156" s="9" t="s">
        <v>1240</v>
      </c>
      <c r="D1156" s="8" t="s">
        <v>1392</v>
      </c>
      <c r="E1156" s="10" t="s">
        <v>481</v>
      </c>
      <c r="F1156" s="8" t="s">
        <v>450</v>
      </c>
      <c r="G1156" s="8" t="s">
        <v>542</v>
      </c>
    </row>
    <row r="1157" spans="1:7" ht="28" customHeight="1">
      <c r="A1157" s="6">
        <v>899</v>
      </c>
      <c r="B1157" s="6" t="s">
        <v>1393</v>
      </c>
      <c r="C1157" s="7" t="s">
        <v>1240</v>
      </c>
      <c r="D1157" s="6" t="s">
        <v>1394</v>
      </c>
      <c r="E1157" s="13" t="s">
        <v>462</v>
      </c>
      <c r="F1157" s="6" t="s">
        <v>481</v>
      </c>
      <c r="G1157" s="6" t="s">
        <v>452</v>
      </c>
    </row>
    <row r="1158" spans="1:7" ht="28" customHeight="1">
      <c r="A1158" s="8">
        <v>900</v>
      </c>
      <c r="B1158" s="8" t="s">
        <v>1393</v>
      </c>
      <c r="C1158" s="9" t="s">
        <v>1240</v>
      </c>
      <c r="D1158" s="8" t="s">
        <v>1395</v>
      </c>
      <c r="E1158" s="10" t="s">
        <v>460</v>
      </c>
      <c r="F1158" s="8" t="s">
        <v>519</v>
      </c>
      <c r="G1158" s="8" t="s">
        <v>452</v>
      </c>
    </row>
    <row r="1159" spans="1:7" ht="28" customHeight="1">
      <c r="A1159" s="6">
        <v>901</v>
      </c>
      <c r="B1159" s="6" t="s">
        <v>1393</v>
      </c>
      <c r="C1159" s="7" t="s">
        <v>1240</v>
      </c>
      <c r="D1159" s="6" t="s">
        <v>1396</v>
      </c>
      <c r="E1159" s="13" t="s">
        <v>483</v>
      </c>
      <c r="F1159" s="6" t="s">
        <v>462</v>
      </c>
      <c r="G1159" s="6" t="s">
        <v>452</v>
      </c>
    </row>
    <row r="1160" spans="1:7" ht="28" customHeight="1">
      <c r="A1160" s="6">
        <v>901</v>
      </c>
      <c r="B1160" s="6" t="s">
        <v>1393</v>
      </c>
      <c r="C1160" s="7" t="s">
        <v>1240</v>
      </c>
      <c r="D1160" s="6" t="s">
        <v>1397</v>
      </c>
      <c r="E1160" s="6" t="s">
        <v>483</v>
      </c>
      <c r="F1160" s="6" t="s">
        <v>462</v>
      </c>
      <c r="G1160" s="6" t="s">
        <v>452</v>
      </c>
    </row>
    <row r="1161" spans="1:7" ht="28" customHeight="1">
      <c r="A1161" s="8">
        <v>902</v>
      </c>
      <c r="B1161" s="8" t="s">
        <v>1393</v>
      </c>
      <c r="C1161" s="9" t="s">
        <v>1240</v>
      </c>
      <c r="D1161" s="8" t="s">
        <v>2550</v>
      </c>
      <c r="E1161" s="8" t="s">
        <v>457</v>
      </c>
      <c r="F1161" s="8" t="s">
        <v>552</v>
      </c>
      <c r="G1161" s="8" t="s">
        <v>452</v>
      </c>
    </row>
    <row r="1162" spans="1:7" ht="28" customHeight="1">
      <c r="A1162" s="6">
        <v>903</v>
      </c>
      <c r="B1162" s="6" t="s">
        <v>1393</v>
      </c>
      <c r="C1162" s="7" t="s">
        <v>1240</v>
      </c>
      <c r="D1162" s="6" t="s">
        <v>1398</v>
      </c>
      <c r="E1162" s="13" t="s">
        <v>515</v>
      </c>
      <c r="F1162" s="6" t="s">
        <v>451</v>
      </c>
      <c r="G1162" s="6" t="s">
        <v>452</v>
      </c>
    </row>
    <row r="1163" spans="1:7" ht="28" customHeight="1">
      <c r="A1163" s="8">
        <v>904</v>
      </c>
      <c r="B1163" s="8" t="s">
        <v>1393</v>
      </c>
      <c r="C1163" s="9" t="s">
        <v>1240</v>
      </c>
      <c r="D1163" s="8" t="s">
        <v>1399</v>
      </c>
      <c r="E1163" s="10" t="s">
        <v>465</v>
      </c>
      <c r="F1163" s="8" t="s">
        <v>451</v>
      </c>
      <c r="G1163" s="8" t="s">
        <v>452</v>
      </c>
    </row>
    <row r="1164" spans="1:7" ht="28" customHeight="1">
      <c r="A1164" s="6">
        <v>905</v>
      </c>
      <c r="B1164" s="6" t="s">
        <v>1393</v>
      </c>
      <c r="C1164" s="7" t="s">
        <v>1240</v>
      </c>
      <c r="D1164" s="6" t="s">
        <v>1400</v>
      </c>
      <c r="E1164" s="13" t="s">
        <v>494</v>
      </c>
      <c r="F1164" s="6" t="s">
        <v>456</v>
      </c>
      <c r="G1164" s="6" t="s">
        <v>542</v>
      </c>
    </row>
    <row r="1165" spans="1:7" ht="28" customHeight="1">
      <c r="A1165" s="6">
        <v>905</v>
      </c>
      <c r="B1165" s="6" t="s">
        <v>1393</v>
      </c>
      <c r="C1165" s="7" t="s">
        <v>1240</v>
      </c>
      <c r="D1165" s="6" t="s">
        <v>1401</v>
      </c>
      <c r="E1165" s="6" t="s">
        <v>494</v>
      </c>
      <c r="F1165" s="6" t="s">
        <v>456</v>
      </c>
      <c r="G1165" s="6" t="s">
        <v>542</v>
      </c>
    </row>
    <row r="1166" spans="1:7" ht="28" customHeight="1">
      <c r="A1166" s="8">
        <v>906</v>
      </c>
      <c r="B1166" s="8" t="s">
        <v>1402</v>
      </c>
      <c r="C1166" s="9" t="s">
        <v>1403</v>
      </c>
      <c r="D1166" s="8" t="s">
        <v>1404</v>
      </c>
      <c r="E1166" s="8" t="s">
        <v>450</v>
      </c>
      <c r="F1166" s="8" t="s">
        <v>455</v>
      </c>
      <c r="G1166" s="8" t="s">
        <v>452</v>
      </c>
    </row>
    <row r="1167" spans="1:7" ht="28" customHeight="1">
      <c r="A1167" s="6">
        <v>907</v>
      </c>
      <c r="B1167" s="6" t="s">
        <v>1402</v>
      </c>
      <c r="C1167" s="7" t="s">
        <v>1403</v>
      </c>
      <c r="D1167" s="6" t="s">
        <v>1405</v>
      </c>
      <c r="E1167" s="6" t="s">
        <v>450</v>
      </c>
      <c r="F1167" s="6" t="s">
        <v>455</v>
      </c>
      <c r="G1167" s="6" t="s">
        <v>452</v>
      </c>
    </row>
    <row r="1168" spans="1:7" ht="28" customHeight="1">
      <c r="A1168" s="8">
        <v>908</v>
      </c>
      <c r="B1168" s="8" t="s">
        <v>1402</v>
      </c>
      <c r="C1168" s="9" t="s">
        <v>1403</v>
      </c>
      <c r="D1168" s="8" t="s">
        <v>1406</v>
      </c>
      <c r="E1168" s="10" t="s">
        <v>450</v>
      </c>
      <c r="F1168" s="8" t="s">
        <v>465</v>
      </c>
      <c r="G1168" s="8" t="s">
        <v>452</v>
      </c>
    </row>
    <row r="1169" spans="1:7" ht="28" customHeight="1">
      <c r="A1169" s="6">
        <v>909</v>
      </c>
      <c r="B1169" s="6" t="s">
        <v>1402</v>
      </c>
      <c r="C1169" s="7" t="s">
        <v>1403</v>
      </c>
      <c r="D1169" s="6" t="s">
        <v>1407</v>
      </c>
      <c r="E1169" s="6" t="s">
        <v>454</v>
      </c>
      <c r="F1169" s="6" t="s">
        <v>455</v>
      </c>
      <c r="G1169" s="6" t="s">
        <v>452</v>
      </c>
    </row>
    <row r="1170" spans="1:7" ht="28" customHeight="1">
      <c r="A1170" s="8">
        <v>910</v>
      </c>
      <c r="B1170" s="8" t="s">
        <v>1402</v>
      </c>
      <c r="C1170" s="9" t="s">
        <v>1403</v>
      </c>
      <c r="D1170" s="8" t="s">
        <v>1408</v>
      </c>
      <c r="E1170" s="8" t="s">
        <v>454</v>
      </c>
      <c r="F1170" s="8" t="s">
        <v>455</v>
      </c>
      <c r="G1170" s="8" t="s">
        <v>452</v>
      </c>
    </row>
    <row r="1171" spans="1:7" ht="28" customHeight="1">
      <c r="A1171" s="6">
        <v>911</v>
      </c>
      <c r="B1171" s="6" t="s">
        <v>1402</v>
      </c>
      <c r="C1171" s="7" t="s">
        <v>1403</v>
      </c>
      <c r="D1171" s="6" t="s">
        <v>1409</v>
      </c>
      <c r="E1171" s="13" t="s">
        <v>454</v>
      </c>
      <c r="F1171" s="6" t="s">
        <v>552</v>
      </c>
      <c r="G1171" s="6" t="s">
        <v>452</v>
      </c>
    </row>
    <row r="1172" spans="1:7" ht="28" customHeight="1">
      <c r="A1172" s="8">
        <v>912</v>
      </c>
      <c r="B1172" s="8" t="s">
        <v>1402</v>
      </c>
      <c r="C1172" s="9" t="s">
        <v>1403</v>
      </c>
      <c r="D1172" s="8" t="s">
        <v>1410</v>
      </c>
      <c r="E1172" s="8" t="s">
        <v>457</v>
      </c>
      <c r="F1172" s="8" t="s">
        <v>455</v>
      </c>
      <c r="G1172" s="8" t="s">
        <v>452</v>
      </c>
    </row>
    <row r="1173" spans="1:7" ht="28" customHeight="1">
      <c r="A1173" s="6">
        <v>913</v>
      </c>
      <c r="B1173" s="6" t="s">
        <v>1402</v>
      </c>
      <c r="C1173" s="7" t="s">
        <v>1403</v>
      </c>
      <c r="D1173" s="6" t="s">
        <v>1411</v>
      </c>
      <c r="E1173" s="6" t="s">
        <v>457</v>
      </c>
      <c r="F1173" s="6" t="s">
        <v>455</v>
      </c>
      <c r="G1173" s="6" t="s">
        <v>452</v>
      </c>
    </row>
    <row r="1174" spans="1:7" ht="28" customHeight="1">
      <c r="A1174" s="8">
        <v>914</v>
      </c>
      <c r="B1174" s="8" t="s">
        <v>1402</v>
      </c>
      <c r="C1174" s="9" t="s">
        <v>1403</v>
      </c>
      <c r="D1174" s="8" t="s">
        <v>1412</v>
      </c>
      <c r="E1174" s="10" t="s">
        <v>457</v>
      </c>
      <c r="F1174" s="8" t="s">
        <v>515</v>
      </c>
      <c r="G1174" s="8" t="s">
        <v>452</v>
      </c>
    </row>
    <row r="1175" spans="1:7" ht="28" customHeight="1">
      <c r="A1175" s="6">
        <v>915</v>
      </c>
      <c r="B1175" s="6" t="s">
        <v>1402</v>
      </c>
      <c r="C1175" s="7" t="s">
        <v>1403</v>
      </c>
      <c r="D1175" s="6" t="s">
        <v>1413</v>
      </c>
      <c r="E1175" s="6" t="s">
        <v>462</v>
      </c>
      <c r="F1175" s="6" t="s">
        <v>455</v>
      </c>
      <c r="G1175" s="6" t="s">
        <v>452</v>
      </c>
    </row>
    <row r="1176" spans="1:7" ht="28" customHeight="1">
      <c r="A1176" s="8">
        <v>916</v>
      </c>
      <c r="B1176" s="8" t="s">
        <v>1402</v>
      </c>
      <c r="C1176" s="9" t="s">
        <v>1403</v>
      </c>
      <c r="D1176" s="8" t="s">
        <v>2560</v>
      </c>
      <c r="E1176" s="8" t="s">
        <v>462</v>
      </c>
      <c r="F1176" s="8" t="s">
        <v>455</v>
      </c>
      <c r="G1176" s="8" t="s">
        <v>452</v>
      </c>
    </row>
    <row r="1177" spans="1:7" ht="28" customHeight="1">
      <c r="A1177" s="6">
        <v>917</v>
      </c>
      <c r="B1177" s="6" t="s">
        <v>1402</v>
      </c>
      <c r="C1177" s="7" t="s">
        <v>1403</v>
      </c>
      <c r="D1177" s="6" t="s">
        <v>1414</v>
      </c>
      <c r="E1177" s="6" t="s">
        <v>460</v>
      </c>
      <c r="F1177" s="6" t="s">
        <v>455</v>
      </c>
      <c r="G1177" s="6" t="s">
        <v>452</v>
      </c>
    </row>
    <row r="1178" spans="1:7" ht="28" customHeight="1">
      <c r="A1178" s="8">
        <v>918</v>
      </c>
      <c r="B1178" s="8" t="s">
        <v>1402</v>
      </c>
      <c r="C1178" s="9" t="s">
        <v>1403</v>
      </c>
      <c r="D1178" s="8" t="s">
        <v>1415</v>
      </c>
      <c r="E1178" s="8" t="s">
        <v>460</v>
      </c>
      <c r="F1178" s="8" t="s">
        <v>455</v>
      </c>
      <c r="G1178" s="8" t="s">
        <v>452</v>
      </c>
    </row>
    <row r="1179" spans="1:7" ht="28" customHeight="1">
      <c r="A1179" s="6">
        <v>919</v>
      </c>
      <c r="B1179" s="6" t="s">
        <v>1402</v>
      </c>
      <c r="C1179" s="7" t="s">
        <v>1403</v>
      </c>
      <c r="D1179" s="6" t="s">
        <v>1416</v>
      </c>
      <c r="E1179" s="6" t="s">
        <v>460</v>
      </c>
      <c r="F1179" s="6" t="s">
        <v>455</v>
      </c>
      <c r="G1179" s="6" t="s">
        <v>452</v>
      </c>
    </row>
    <row r="1180" spans="1:7" ht="28" customHeight="1">
      <c r="A1180" s="8">
        <v>920</v>
      </c>
      <c r="B1180" s="8" t="s">
        <v>1402</v>
      </c>
      <c r="C1180" s="9" t="s">
        <v>1403</v>
      </c>
      <c r="D1180" s="8" t="s">
        <v>1417</v>
      </c>
      <c r="E1180" s="10" t="s">
        <v>460</v>
      </c>
      <c r="F1180" s="8" t="s">
        <v>465</v>
      </c>
      <c r="G1180" s="8" t="s">
        <v>452</v>
      </c>
    </row>
    <row r="1181" spans="1:7" ht="28" customHeight="1">
      <c r="A1181" s="6">
        <v>921</v>
      </c>
      <c r="B1181" s="6" t="s">
        <v>1402</v>
      </c>
      <c r="C1181" s="7" t="s">
        <v>1403</v>
      </c>
      <c r="D1181" s="6" t="s">
        <v>1418</v>
      </c>
      <c r="E1181" s="6" t="s">
        <v>471</v>
      </c>
      <c r="F1181" s="6" t="s">
        <v>455</v>
      </c>
      <c r="G1181" s="6" t="s">
        <v>452</v>
      </c>
    </row>
    <row r="1182" spans="1:7" ht="28" customHeight="1">
      <c r="A1182" s="8">
        <v>922</v>
      </c>
      <c r="B1182" s="8" t="s">
        <v>1402</v>
      </c>
      <c r="C1182" s="9" t="s">
        <v>1403</v>
      </c>
      <c r="D1182" s="8" t="s">
        <v>1419</v>
      </c>
      <c r="E1182" s="10" t="s">
        <v>471</v>
      </c>
      <c r="F1182" s="8" t="s">
        <v>515</v>
      </c>
      <c r="G1182" s="8" t="s">
        <v>452</v>
      </c>
    </row>
    <row r="1183" spans="1:7" ht="28" customHeight="1">
      <c r="A1183" s="6">
        <v>923</v>
      </c>
      <c r="B1183" s="6" t="s">
        <v>1402</v>
      </c>
      <c r="C1183" s="7" t="s">
        <v>1403</v>
      </c>
      <c r="D1183" s="6" t="s">
        <v>1420</v>
      </c>
      <c r="E1183" s="13" t="s">
        <v>471</v>
      </c>
      <c r="F1183" s="6" t="s">
        <v>515</v>
      </c>
      <c r="G1183" s="6" t="s">
        <v>452</v>
      </c>
    </row>
    <row r="1184" spans="1:7" ht="28" customHeight="1">
      <c r="A1184" s="8">
        <v>924</v>
      </c>
      <c r="B1184" s="8" t="s">
        <v>1402</v>
      </c>
      <c r="C1184" s="9" t="s">
        <v>1403</v>
      </c>
      <c r="D1184" s="8" t="s">
        <v>1421</v>
      </c>
      <c r="E1184" s="8" t="s">
        <v>462</v>
      </c>
      <c r="F1184" s="8" t="s">
        <v>455</v>
      </c>
      <c r="G1184" s="8" t="s">
        <v>452</v>
      </c>
    </row>
    <row r="1185" spans="1:7" ht="28" customHeight="1">
      <c r="A1185" s="6">
        <v>925</v>
      </c>
      <c r="B1185" s="6" t="s">
        <v>1402</v>
      </c>
      <c r="C1185" s="7" t="s">
        <v>1403</v>
      </c>
      <c r="D1185" s="6" t="s">
        <v>1422</v>
      </c>
      <c r="E1185" s="6" t="s">
        <v>462</v>
      </c>
      <c r="F1185" s="6" t="s">
        <v>455</v>
      </c>
      <c r="G1185" s="6" t="s">
        <v>452</v>
      </c>
    </row>
    <row r="1186" spans="1:7" ht="28" customHeight="1">
      <c r="A1186" s="6">
        <v>925</v>
      </c>
      <c r="B1186" s="6" t="s">
        <v>1402</v>
      </c>
      <c r="C1186" s="7" t="s">
        <v>1403</v>
      </c>
      <c r="D1186" s="6" t="s">
        <v>1423</v>
      </c>
      <c r="E1186" s="6" t="s">
        <v>462</v>
      </c>
      <c r="F1186" s="6" t="s">
        <v>455</v>
      </c>
      <c r="G1186" s="6" t="s">
        <v>452</v>
      </c>
    </row>
    <row r="1187" spans="1:7" ht="28" customHeight="1">
      <c r="A1187" s="8">
        <v>926</v>
      </c>
      <c r="B1187" s="8" t="s">
        <v>1402</v>
      </c>
      <c r="C1187" s="9" t="s">
        <v>1403</v>
      </c>
      <c r="D1187" s="8" t="s">
        <v>1424</v>
      </c>
      <c r="E1187" s="8" t="s">
        <v>494</v>
      </c>
      <c r="F1187" s="8" t="s">
        <v>455</v>
      </c>
      <c r="G1187" s="8" t="s">
        <v>452</v>
      </c>
    </row>
    <row r="1188" spans="1:7" ht="28" customHeight="1">
      <c r="A1188" s="6">
        <v>927</v>
      </c>
      <c r="B1188" s="6" t="s">
        <v>1402</v>
      </c>
      <c r="C1188" s="7" t="s">
        <v>1403</v>
      </c>
      <c r="D1188" s="6" t="s">
        <v>1425</v>
      </c>
      <c r="E1188" s="6" t="s">
        <v>494</v>
      </c>
      <c r="F1188" s="6" t="s">
        <v>455</v>
      </c>
      <c r="G1188" s="6" t="s">
        <v>452</v>
      </c>
    </row>
    <row r="1189" spans="1:7" ht="28" customHeight="1">
      <c r="A1189" s="8">
        <v>928</v>
      </c>
      <c r="B1189" s="8" t="s">
        <v>1402</v>
      </c>
      <c r="C1189" s="9" t="s">
        <v>1403</v>
      </c>
      <c r="D1189" s="8" t="s">
        <v>1426</v>
      </c>
      <c r="E1189" s="10" t="s">
        <v>450</v>
      </c>
      <c r="F1189" s="8" t="s">
        <v>462</v>
      </c>
      <c r="G1189" s="8" t="s">
        <v>452</v>
      </c>
    </row>
    <row r="1190" spans="1:7" ht="28" customHeight="1">
      <c r="A1190" s="6">
        <v>929</v>
      </c>
      <c r="B1190" s="6" t="s">
        <v>1402</v>
      </c>
      <c r="C1190" s="7" t="s">
        <v>1403</v>
      </c>
      <c r="D1190" s="6" t="s">
        <v>1427</v>
      </c>
      <c r="E1190" s="6" t="s">
        <v>450</v>
      </c>
      <c r="F1190" s="6" t="s">
        <v>462</v>
      </c>
      <c r="G1190" s="6" t="s">
        <v>452</v>
      </c>
    </row>
    <row r="1191" spans="1:7" ht="28" customHeight="1">
      <c r="A1191" s="8">
        <v>930</v>
      </c>
      <c r="B1191" s="8" t="s">
        <v>1402</v>
      </c>
      <c r="C1191" s="9" t="s">
        <v>1403</v>
      </c>
      <c r="D1191" s="8" t="s">
        <v>1428</v>
      </c>
      <c r="E1191" s="8" t="s">
        <v>450</v>
      </c>
      <c r="F1191" s="8" t="s">
        <v>462</v>
      </c>
      <c r="G1191" s="8" t="s">
        <v>452</v>
      </c>
    </row>
    <row r="1192" spans="1:7" ht="28" customHeight="1">
      <c r="A1192" s="6">
        <v>931</v>
      </c>
      <c r="B1192" s="6" t="s">
        <v>1402</v>
      </c>
      <c r="C1192" s="7" t="s">
        <v>1403</v>
      </c>
      <c r="D1192" s="6" t="s">
        <v>1429</v>
      </c>
      <c r="E1192" s="13" t="s">
        <v>462</v>
      </c>
      <c r="F1192" s="6" t="s">
        <v>456</v>
      </c>
      <c r="G1192" s="6" t="s">
        <v>542</v>
      </c>
    </row>
    <row r="1193" spans="1:7" ht="28" customHeight="1">
      <c r="A1193" s="6">
        <v>931</v>
      </c>
      <c r="B1193" s="6" t="s">
        <v>1402</v>
      </c>
      <c r="C1193" s="7" t="s">
        <v>1403</v>
      </c>
      <c r="D1193" s="6" t="s">
        <v>1430</v>
      </c>
      <c r="E1193" s="6" t="s">
        <v>462</v>
      </c>
      <c r="F1193" s="6" t="s">
        <v>456</v>
      </c>
      <c r="G1193" s="6" t="s">
        <v>542</v>
      </c>
    </row>
    <row r="1194" spans="1:7" ht="28" customHeight="1">
      <c r="A1194" s="6">
        <v>931</v>
      </c>
      <c r="B1194" s="6" t="s">
        <v>1402</v>
      </c>
      <c r="C1194" s="7" t="s">
        <v>1403</v>
      </c>
      <c r="D1194" s="6" t="s">
        <v>1431</v>
      </c>
      <c r="E1194" s="6" t="s">
        <v>462</v>
      </c>
      <c r="F1194" s="6" t="s">
        <v>456</v>
      </c>
      <c r="G1194" s="6" t="s">
        <v>542</v>
      </c>
    </row>
    <row r="1195" spans="1:7" ht="28" customHeight="1">
      <c r="A1195" s="6">
        <v>931</v>
      </c>
      <c r="B1195" s="6" t="s">
        <v>1402</v>
      </c>
      <c r="C1195" s="7" t="s">
        <v>1403</v>
      </c>
      <c r="D1195" s="6" t="s">
        <v>1432</v>
      </c>
      <c r="E1195" s="6" t="s">
        <v>462</v>
      </c>
      <c r="F1195" s="6" t="s">
        <v>456</v>
      </c>
      <c r="G1195" s="6" t="s">
        <v>542</v>
      </c>
    </row>
    <row r="1196" spans="1:7" ht="28" customHeight="1">
      <c r="A1196" s="8">
        <v>932</v>
      </c>
      <c r="B1196" s="8" t="s">
        <v>1402</v>
      </c>
      <c r="C1196" s="9" t="s">
        <v>1403</v>
      </c>
      <c r="D1196" s="8" t="s">
        <v>1433</v>
      </c>
      <c r="E1196" s="8" t="s">
        <v>519</v>
      </c>
      <c r="F1196" s="8" t="s">
        <v>455</v>
      </c>
      <c r="G1196" s="8" t="s">
        <v>452</v>
      </c>
    </row>
    <row r="1197" spans="1:7" ht="28" customHeight="1">
      <c r="A1197" s="6">
        <v>933</v>
      </c>
      <c r="B1197" s="6" t="s">
        <v>1402</v>
      </c>
      <c r="C1197" s="7" t="s">
        <v>1403</v>
      </c>
      <c r="D1197" s="6" t="s">
        <v>1434</v>
      </c>
      <c r="E1197" s="6" t="s">
        <v>519</v>
      </c>
      <c r="F1197" s="6" t="s">
        <v>455</v>
      </c>
      <c r="G1197" s="6" t="s">
        <v>452</v>
      </c>
    </row>
    <row r="1198" spans="1:7" ht="28" customHeight="1">
      <c r="A1198" s="8">
        <v>934</v>
      </c>
      <c r="B1198" s="8" t="s">
        <v>1402</v>
      </c>
      <c r="C1198" s="9" t="s">
        <v>1403</v>
      </c>
      <c r="D1198" s="8" t="s">
        <v>1435</v>
      </c>
      <c r="E1198" s="8" t="s">
        <v>519</v>
      </c>
      <c r="F1198" s="8" t="s">
        <v>455</v>
      </c>
      <c r="G1198" s="8" t="s">
        <v>452</v>
      </c>
    </row>
    <row r="1199" spans="1:7" ht="28" customHeight="1">
      <c r="A1199" s="6">
        <v>935</v>
      </c>
      <c r="B1199" s="6" t="s">
        <v>1402</v>
      </c>
      <c r="C1199" s="7" t="s">
        <v>1403</v>
      </c>
      <c r="D1199" s="6" t="s">
        <v>1436</v>
      </c>
      <c r="E1199" s="6" t="s">
        <v>454</v>
      </c>
      <c r="F1199" s="6" t="s">
        <v>455</v>
      </c>
      <c r="G1199" s="6" t="s">
        <v>452</v>
      </c>
    </row>
    <row r="1200" spans="1:7" ht="28" customHeight="1">
      <c r="A1200" s="8">
        <v>936</v>
      </c>
      <c r="B1200" s="8" t="s">
        <v>1402</v>
      </c>
      <c r="C1200" s="9" t="s">
        <v>1403</v>
      </c>
      <c r="D1200" s="8" t="s">
        <v>1437</v>
      </c>
      <c r="E1200" s="10" t="s">
        <v>454</v>
      </c>
      <c r="F1200" s="8" t="s">
        <v>481</v>
      </c>
      <c r="G1200" s="8" t="s">
        <v>452</v>
      </c>
    </row>
    <row r="1201" spans="1:7" ht="28" customHeight="1">
      <c r="A1201" s="6">
        <v>937</v>
      </c>
      <c r="B1201" s="6" t="s">
        <v>1402</v>
      </c>
      <c r="C1201" s="7" t="s">
        <v>1403</v>
      </c>
      <c r="D1201" s="6" t="s">
        <v>1438</v>
      </c>
      <c r="E1201" s="13" t="s">
        <v>454</v>
      </c>
      <c r="F1201" s="6" t="s">
        <v>552</v>
      </c>
      <c r="G1201" s="6" t="s">
        <v>452</v>
      </c>
    </row>
    <row r="1202" spans="1:7" ht="28" customHeight="1">
      <c r="A1202" s="8">
        <v>938</v>
      </c>
      <c r="B1202" s="8" t="s">
        <v>1402</v>
      </c>
      <c r="C1202" s="9" t="s">
        <v>1403</v>
      </c>
      <c r="D1202" s="8" t="s">
        <v>1439</v>
      </c>
      <c r="E1202" s="8" t="s">
        <v>471</v>
      </c>
      <c r="F1202" s="8" t="s">
        <v>455</v>
      </c>
      <c r="G1202" s="8" t="s">
        <v>452</v>
      </c>
    </row>
    <row r="1203" spans="1:7" ht="28" customHeight="1">
      <c r="A1203" s="6">
        <v>939</v>
      </c>
      <c r="B1203" s="6" t="s">
        <v>1402</v>
      </c>
      <c r="C1203" s="7" t="s">
        <v>1403</v>
      </c>
      <c r="D1203" s="6" t="s">
        <v>1440</v>
      </c>
      <c r="E1203" s="6" t="s">
        <v>471</v>
      </c>
      <c r="F1203" s="6" t="s">
        <v>455</v>
      </c>
      <c r="G1203" s="6" t="s">
        <v>452</v>
      </c>
    </row>
    <row r="1204" spans="1:7" ht="28" customHeight="1">
      <c r="A1204" s="8">
        <v>940</v>
      </c>
      <c r="B1204" s="8" t="s">
        <v>1402</v>
      </c>
      <c r="C1204" s="9" t="s">
        <v>1403</v>
      </c>
      <c r="D1204" s="8" t="s">
        <v>1441</v>
      </c>
      <c r="E1204" s="10" t="s">
        <v>471</v>
      </c>
      <c r="F1204" s="8" t="s">
        <v>456</v>
      </c>
      <c r="G1204" s="8" t="s">
        <v>452</v>
      </c>
    </row>
    <row r="1205" spans="1:7" ht="28" customHeight="1">
      <c r="A1205" s="6">
        <v>941</v>
      </c>
      <c r="B1205" s="6" t="s">
        <v>1402</v>
      </c>
      <c r="C1205" s="7" t="s">
        <v>1403</v>
      </c>
      <c r="D1205" s="6" t="s">
        <v>1442</v>
      </c>
      <c r="E1205" s="13" t="s">
        <v>471</v>
      </c>
      <c r="F1205" s="6" t="s">
        <v>456</v>
      </c>
      <c r="G1205" s="6" t="s">
        <v>452</v>
      </c>
    </row>
    <row r="1206" spans="1:7" ht="28" customHeight="1">
      <c r="A1206" s="8">
        <v>942</v>
      </c>
      <c r="B1206" s="8" t="s">
        <v>1402</v>
      </c>
      <c r="C1206" s="9" t="s">
        <v>1403</v>
      </c>
      <c r="D1206" s="8" t="s">
        <v>1443</v>
      </c>
      <c r="E1206" s="8" t="s">
        <v>465</v>
      </c>
      <c r="F1206" s="8" t="s">
        <v>455</v>
      </c>
      <c r="G1206" s="8" t="s">
        <v>452</v>
      </c>
    </row>
    <row r="1207" spans="1:7" ht="28" customHeight="1">
      <c r="A1207" s="6">
        <v>943</v>
      </c>
      <c r="B1207" s="6" t="s">
        <v>1402</v>
      </c>
      <c r="C1207" s="7" t="s">
        <v>1403</v>
      </c>
      <c r="D1207" s="6" t="s">
        <v>1444</v>
      </c>
      <c r="E1207" s="6" t="s">
        <v>465</v>
      </c>
      <c r="F1207" s="6" t="s">
        <v>455</v>
      </c>
      <c r="G1207" s="6" t="s">
        <v>452</v>
      </c>
    </row>
    <row r="1208" spans="1:7" ht="28" customHeight="1">
      <c r="A1208" s="8">
        <v>944</v>
      </c>
      <c r="B1208" s="8" t="s">
        <v>1402</v>
      </c>
      <c r="C1208" s="9" t="s">
        <v>1403</v>
      </c>
      <c r="D1208" s="8" t="s">
        <v>1445</v>
      </c>
      <c r="E1208" s="10" t="s">
        <v>451</v>
      </c>
      <c r="F1208" s="8" t="s">
        <v>462</v>
      </c>
      <c r="G1208" s="8" t="s">
        <v>452</v>
      </c>
    </row>
    <row r="1209" spans="1:7" ht="28" customHeight="1">
      <c r="A1209" s="6">
        <v>945</v>
      </c>
      <c r="B1209" s="6" t="s">
        <v>1402</v>
      </c>
      <c r="C1209" s="7" t="s">
        <v>1403</v>
      </c>
      <c r="D1209" s="6" t="s">
        <v>1446</v>
      </c>
      <c r="E1209" s="13" t="s">
        <v>451</v>
      </c>
      <c r="F1209" s="6" t="s">
        <v>462</v>
      </c>
      <c r="G1209" s="6" t="s">
        <v>452</v>
      </c>
    </row>
    <row r="1210" spans="1:7" ht="28" customHeight="1">
      <c r="A1210" s="8">
        <v>946</v>
      </c>
      <c r="B1210" s="8" t="s">
        <v>1402</v>
      </c>
      <c r="C1210" s="9" t="s">
        <v>1403</v>
      </c>
      <c r="D1210" s="8" t="s">
        <v>1447</v>
      </c>
      <c r="E1210" s="10" t="s">
        <v>450</v>
      </c>
      <c r="F1210" s="8" t="s">
        <v>552</v>
      </c>
      <c r="G1210" s="8" t="s">
        <v>452</v>
      </c>
    </row>
    <row r="1211" spans="1:7" ht="28" customHeight="1">
      <c r="A1211" s="6">
        <v>947</v>
      </c>
      <c r="B1211" s="6" t="s">
        <v>1402</v>
      </c>
      <c r="C1211" s="7" t="s">
        <v>1403</v>
      </c>
      <c r="D1211" s="6" t="s">
        <v>1448</v>
      </c>
      <c r="E1211" s="13" t="s">
        <v>450</v>
      </c>
      <c r="F1211" s="6" t="s">
        <v>552</v>
      </c>
      <c r="G1211" s="6" t="s">
        <v>452</v>
      </c>
    </row>
    <row r="1212" spans="1:7" ht="28" customHeight="1">
      <c r="A1212" s="8">
        <v>948</v>
      </c>
      <c r="B1212" s="8" t="s">
        <v>1402</v>
      </c>
      <c r="C1212" s="9" t="s">
        <v>1403</v>
      </c>
      <c r="D1212" s="8" t="s">
        <v>1449</v>
      </c>
      <c r="E1212" s="10" t="s">
        <v>483</v>
      </c>
      <c r="F1212" s="8" t="s">
        <v>450</v>
      </c>
      <c r="G1212" s="8" t="s">
        <v>452</v>
      </c>
    </row>
    <row r="1213" spans="1:7" ht="28" customHeight="1">
      <c r="A1213" s="6">
        <v>949</v>
      </c>
      <c r="B1213" s="6" t="s">
        <v>1402</v>
      </c>
      <c r="C1213" s="7" t="s">
        <v>1403</v>
      </c>
      <c r="D1213" s="6" t="s">
        <v>1450</v>
      </c>
      <c r="E1213" s="13" t="s">
        <v>483</v>
      </c>
      <c r="F1213" s="6" t="s">
        <v>450</v>
      </c>
      <c r="G1213" s="6" t="s">
        <v>452</v>
      </c>
    </row>
    <row r="1214" spans="1:7" ht="28" customHeight="1">
      <c r="A1214" s="8">
        <v>950</v>
      </c>
      <c r="B1214" s="8" t="s">
        <v>1402</v>
      </c>
      <c r="C1214" s="9" t="s">
        <v>1403</v>
      </c>
      <c r="D1214" s="8" t="s">
        <v>1451</v>
      </c>
      <c r="E1214" s="8" t="s">
        <v>519</v>
      </c>
      <c r="F1214" s="8" t="s">
        <v>455</v>
      </c>
      <c r="G1214" s="8" t="s">
        <v>542</v>
      </c>
    </row>
    <row r="1215" spans="1:7" ht="28" customHeight="1">
      <c r="A1215" s="6">
        <v>951</v>
      </c>
      <c r="B1215" s="6" t="s">
        <v>1402</v>
      </c>
      <c r="C1215" s="7" t="s">
        <v>1403</v>
      </c>
      <c r="D1215" s="6" t="s">
        <v>1452</v>
      </c>
      <c r="E1215" s="6" t="s">
        <v>450</v>
      </c>
      <c r="F1215" s="6" t="s">
        <v>455</v>
      </c>
      <c r="G1215" s="6" t="s">
        <v>452</v>
      </c>
    </row>
    <row r="1216" spans="1:7" ht="28" customHeight="1">
      <c r="A1216" s="8">
        <v>952</v>
      </c>
      <c r="B1216" s="8" t="s">
        <v>1402</v>
      </c>
      <c r="C1216" s="9" t="s">
        <v>1403</v>
      </c>
      <c r="D1216" s="8" t="s">
        <v>1453</v>
      </c>
      <c r="E1216" s="10" t="s">
        <v>450</v>
      </c>
      <c r="F1216" s="8" t="s">
        <v>454</v>
      </c>
      <c r="G1216" s="8" t="s">
        <v>452</v>
      </c>
    </row>
    <row r="1217" spans="1:7" ht="28" customHeight="1">
      <c r="A1217" s="6">
        <v>953</v>
      </c>
      <c r="B1217" s="6" t="s">
        <v>1402</v>
      </c>
      <c r="C1217" s="7" t="s">
        <v>1403</v>
      </c>
      <c r="D1217" s="6" t="s">
        <v>1454</v>
      </c>
      <c r="E1217" s="6" t="s">
        <v>460</v>
      </c>
      <c r="F1217" s="6" t="s">
        <v>455</v>
      </c>
      <c r="G1217" s="6" t="s">
        <v>452</v>
      </c>
    </row>
    <row r="1218" spans="1:7" ht="28" customHeight="1">
      <c r="A1218" s="8">
        <v>954</v>
      </c>
      <c r="B1218" s="8" t="s">
        <v>1402</v>
      </c>
      <c r="C1218" s="9" t="s">
        <v>1403</v>
      </c>
      <c r="D1218" s="8" t="s">
        <v>1455</v>
      </c>
      <c r="E1218" s="10" t="s">
        <v>460</v>
      </c>
      <c r="F1218" s="8" t="s">
        <v>481</v>
      </c>
      <c r="G1218" s="8" t="s">
        <v>452</v>
      </c>
    </row>
    <row r="1219" spans="1:7" ht="28" customHeight="1">
      <c r="A1219" s="6">
        <v>955</v>
      </c>
      <c r="B1219" s="6" t="s">
        <v>1402</v>
      </c>
      <c r="C1219" s="7" t="s">
        <v>1403</v>
      </c>
      <c r="D1219" s="6" t="s">
        <v>1456</v>
      </c>
      <c r="E1219" s="6" t="s">
        <v>481</v>
      </c>
      <c r="F1219" s="6" t="s">
        <v>455</v>
      </c>
      <c r="G1219" s="6" t="s">
        <v>452</v>
      </c>
    </row>
    <row r="1220" spans="1:7" ht="28" customHeight="1">
      <c r="A1220" s="8">
        <v>956</v>
      </c>
      <c r="B1220" s="8" t="s">
        <v>1402</v>
      </c>
      <c r="C1220" s="9" t="s">
        <v>1403</v>
      </c>
      <c r="D1220" s="8" t="s">
        <v>1457</v>
      </c>
      <c r="E1220" s="8" t="s">
        <v>481</v>
      </c>
      <c r="F1220" s="8" t="s">
        <v>455</v>
      </c>
      <c r="G1220" s="8" t="s">
        <v>452</v>
      </c>
    </row>
    <row r="1221" spans="1:7" ht="28" customHeight="1">
      <c r="A1221" s="6">
        <v>957</v>
      </c>
      <c r="B1221" s="6" t="s">
        <v>1402</v>
      </c>
      <c r="C1221" s="7" t="s">
        <v>1403</v>
      </c>
      <c r="D1221" s="6" t="s">
        <v>1458</v>
      </c>
      <c r="E1221" s="13" t="s">
        <v>494</v>
      </c>
      <c r="F1221" s="6" t="s">
        <v>486</v>
      </c>
      <c r="G1221" s="6" t="s">
        <v>452</v>
      </c>
    </row>
    <row r="1222" spans="1:7" ht="28" customHeight="1">
      <c r="A1222" s="8">
        <v>958</v>
      </c>
      <c r="B1222" s="8" t="s">
        <v>1402</v>
      </c>
      <c r="C1222" s="9" t="s">
        <v>1403</v>
      </c>
      <c r="D1222" s="8" t="s">
        <v>1459</v>
      </c>
      <c r="E1222" s="8" t="s">
        <v>494</v>
      </c>
      <c r="F1222" s="8" t="s">
        <v>486</v>
      </c>
      <c r="G1222" s="8" t="s">
        <v>452</v>
      </c>
    </row>
    <row r="1223" spans="1:7" ht="28" customHeight="1">
      <c r="A1223" s="6">
        <v>959</v>
      </c>
      <c r="B1223" s="6" t="s">
        <v>1402</v>
      </c>
      <c r="C1223" s="7" t="s">
        <v>1403</v>
      </c>
      <c r="D1223" s="6" t="s">
        <v>1460</v>
      </c>
      <c r="E1223" s="6" t="s">
        <v>494</v>
      </c>
      <c r="F1223" s="6" t="s">
        <v>486</v>
      </c>
      <c r="G1223" s="6" t="s">
        <v>452</v>
      </c>
    </row>
    <row r="1224" spans="1:7" ht="28" customHeight="1">
      <c r="A1224" s="8">
        <v>960</v>
      </c>
      <c r="B1224" s="8" t="s">
        <v>1402</v>
      </c>
      <c r="C1224" s="9" t="s">
        <v>1403</v>
      </c>
      <c r="D1224" s="8" t="s">
        <v>1461</v>
      </c>
      <c r="E1224" s="8" t="s">
        <v>457</v>
      </c>
      <c r="F1224" s="8" t="s">
        <v>455</v>
      </c>
      <c r="G1224" s="8" t="s">
        <v>452</v>
      </c>
    </row>
    <row r="1225" spans="1:7" ht="28" customHeight="1">
      <c r="A1225" s="6">
        <v>961</v>
      </c>
      <c r="B1225" s="6" t="s">
        <v>1402</v>
      </c>
      <c r="C1225" s="7" t="s">
        <v>1403</v>
      </c>
      <c r="D1225" s="6" t="s">
        <v>1462</v>
      </c>
      <c r="E1225" s="6" t="s">
        <v>457</v>
      </c>
      <c r="F1225" s="6" t="s">
        <v>455</v>
      </c>
      <c r="G1225" s="6" t="s">
        <v>452</v>
      </c>
    </row>
    <row r="1226" spans="1:7" ht="28" customHeight="1">
      <c r="A1226" s="8">
        <v>962</v>
      </c>
      <c r="B1226" s="8" t="s">
        <v>1402</v>
      </c>
      <c r="C1226" s="9" t="s">
        <v>1403</v>
      </c>
      <c r="D1226" s="8" t="s">
        <v>1463</v>
      </c>
      <c r="E1226" s="10" t="s">
        <v>456</v>
      </c>
      <c r="F1226" s="8" t="s">
        <v>465</v>
      </c>
      <c r="G1226" s="8" t="s">
        <v>542</v>
      </c>
    </row>
    <row r="1227" spans="1:7" ht="28" customHeight="1">
      <c r="A1227" s="6">
        <v>963</v>
      </c>
      <c r="B1227" s="6" t="s">
        <v>1402</v>
      </c>
      <c r="C1227" s="7" t="s">
        <v>1403</v>
      </c>
      <c r="D1227" s="6" t="s">
        <v>1464</v>
      </c>
      <c r="E1227" s="6" t="s">
        <v>457</v>
      </c>
      <c r="F1227" s="6" t="s">
        <v>455</v>
      </c>
      <c r="G1227" s="6" t="s">
        <v>452</v>
      </c>
    </row>
    <row r="1228" spans="1:7" ht="28" customHeight="1">
      <c r="A1228" s="8">
        <v>964</v>
      </c>
      <c r="B1228" s="8" t="s">
        <v>1402</v>
      </c>
      <c r="C1228" s="9" t="s">
        <v>1403</v>
      </c>
      <c r="D1228" s="8" t="s">
        <v>1465</v>
      </c>
      <c r="E1228" s="8" t="s">
        <v>457</v>
      </c>
      <c r="F1228" s="8" t="s">
        <v>455</v>
      </c>
      <c r="G1228" s="8" t="s">
        <v>452</v>
      </c>
    </row>
    <row r="1229" spans="1:7" ht="28" customHeight="1">
      <c r="A1229" s="6">
        <v>965</v>
      </c>
      <c r="B1229" s="6" t="s">
        <v>1402</v>
      </c>
      <c r="C1229" s="7" t="s">
        <v>1403</v>
      </c>
      <c r="D1229" s="6" t="s">
        <v>1466</v>
      </c>
      <c r="E1229" s="13" t="s">
        <v>486</v>
      </c>
      <c r="F1229" s="6" t="s">
        <v>451</v>
      </c>
      <c r="G1229" s="6" t="s">
        <v>452</v>
      </c>
    </row>
    <row r="1230" spans="1:7" ht="28" customHeight="1">
      <c r="A1230" s="8">
        <v>966</v>
      </c>
      <c r="B1230" s="8" t="s">
        <v>1402</v>
      </c>
      <c r="C1230" s="9" t="s">
        <v>1403</v>
      </c>
      <c r="D1230" s="8" t="s">
        <v>1467</v>
      </c>
      <c r="E1230" s="10" t="s">
        <v>486</v>
      </c>
      <c r="F1230" s="8" t="s">
        <v>451</v>
      </c>
      <c r="G1230" s="8" t="s">
        <v>452</v>
      </c>
    </row>
    <row r="1231" spans="1:7" ht="28" customHeight="1">
      <c r="A1231" s="6">
        <v>967</v>
      </c>
      <c r="B1231" s="6" t="s">
        <v>1402</v>
      </c>
      <c r="C1231" s="7" t="s">
        <v>1403</v>
      </c>
      <c r="D1231" s="6" t="s">
        <v>1468</v>
      </c>
      <c r="E1231" s="13" t="s">
        <v>561</v>
      </c>
      <c r="F1231" s="6" t="s">
        <v>462</v>
      </c>
      <c r="G1231" s="6" t="s">
        <v>542</v>
      </c>
    </row>
    <row r="1232" spans="1:7" ht="28" customHeight="1">
      <c r="A1232" s="8">
        <v>968</v>
      </c>
      <c r="B1232" s="8" t="s">
        <v>1402</v>
      </c>
      <c r="C1232" s="9" t="s">
        <v>1403</v>
      </c>
      <c r="D1232" s="8" t="s">
        <v>1469</v>
      </c>
      <c r="E1232" s="8" t="s">
        <v>486</v>
      </c>
      <c r="F1232" s="8" t="s">
        <v>455</v>
      </c>
      <c r="G1232" s="8" t="s">
        <v>542</v>
      </c>
    </row>
    <row r="1233" spans="1:7" ht="28" customHeight="1">
      <c r="A1233" s="6">
        <v>969</v>
      </c>
      <c r="B1233" s="6" t="s">
        <v>1402</v>
      </c>
      <c r="C1233" s="7" t="s">
        <v>1403</v>
      </c>
      <c r="D1233" s="6" t="s">
        <v>1470</v>
      </c>
      <c r="E1233" s="13" t="s">
        <v>519</v>
      </c>
      <c r="F1233" s="6" t="s">
        <v>451</v>
      </c>
      <c r="G1233" s="6" t="s">
        <v>452</v>
      </c>
    </row>
    <row r="1234" spans="1:7" ht="28" customHeight="1">
      <c r="A1234" s="8">
        <v>970</v>
      </c>
      <c r="B1234" s="8" t="s">
        <v>1402</v>
      </c>
      <c r="C1234" s="9" t="s">
        <v>1403</v>
      </c>
      <c r="D1234" s="8" t="s">
        <v>1471</v>
      </c>
      <c r="E1234" s="10" t="s">
        <v>519</v>
      </c>
      <c r="F1234" s="8" t="s">
        <v>451</v>
      </c>
      <c r="G1234" s="8" t="s">
        <v>452</v>
      </c>
    </row>
    <row r="1235" spans="1:7" ht="28" customHeight="1">
      <c r="A1235" s="6">
        <v>971</v>
      </c>
      <c r="B1235" s="6" t="s">
        <v>1402</v>
      </c>
      <c r="C1235" s="7" t="s">
        <v>1403</v>
      </c>
      <c r="D1235" s="6" t="s">
        <v>1472</v>
      </c>
      <c r="E1235" s="6" t="s">
        <v>552</v>
      </c>
      <c r="F1235" s="6" t="s">
        <v>455</v>
      </c>
      <c r="G1235" s="6" t="s">
        <v>452</v>
      </c>
    </row>
    <row r="1236" spans="1:7" ht="28" customHeight="1">
      <c r="A1236" s="8">
        <v>972</v>
      </c>
      <c r="B1236" s="8" t="s">
        <v>1402</v>
      </c>
      <c r="C1236" s="9" t="s">
        <v>1403</v>
      </c>
      <c r="D1236" s="8" t="s">
        <v>1473</v>
      </c>
      <c r="E1236" s="8" t="s">
        <v>552</v>
      </c>
      <c r="F1236" s="8" t="s">
        <v>455</v>
      </c>
      <c r="G1236" s="8" t="s">
        <v>452</v>
      </c>
    </row>
    <row r="1237" spans="1:7" ht="28" customHeight="1">
      <c r="A1237" s="6">
        <v>973</v>
      </c>
      <c r="B1237" s="6" t="s">
        <v>1402</v>
      </c>
      <c r="C1237" s="7" t="s">
        <v>1403</v>
      </c>
      <c r="D1237" s="6" t="s">
        <v>1474</v>
      </c>
      <c r="E1237" s="13" t="s">
        <v>456</v>
      </c>
      <c r="F1237" s="6" t="s">
        <v>515</v>
      </c>
      <c r="G1237" s="6" t="s">
        <v>542</v>
      </c>
    </row>
    <row r="1238" spans="1:7" ht="28" customHeight="1">
      <c r="A1238" s="8">
        <v>974</v>
      </c>
      <c r="B1238" s="8" t="s">
        <v>1402</v>
      </c>
      <c r="C1238" s="9" t="s">
        <v>1403</v>
      </c>
      <c r="D1238" s="8" t="s">
        <v>1475</v>
      </c>
      <c r="E1238" s="8" t="s">
        <v>485</v>
      </c>
      <c r="F1238" s="8" t="s">
        <v>455</v>
      </c>
      <c r="G1238" s="8" t="s">
        <v>452</v>
      </c>
    </row>
    <row r="1239" spans="1:7" ht="28" customHeight="1">
      <c r="A1239" s="6">
        <v>975</v>
      </c>
      <c r="B1239" s="6" t="s">
        <v>1402</v>
      </c>
      <c r="C1239" s="7" t="s">
        <v>1403</v>
      </c>
      <c r="D1239" s="6" t="s">
        <v>1476</v>
      </c>
      <c r="E1239" s="6" t="s">
        <v>485</v>
      </c>
      <c r="F1239" s="6" t="s">
        <v>455</v>
      </c>
      <c r="G1239" s="6" t="s">
        <v>452</v>
      </c>
    </row>
    <row r="1240" spans="1:7" ht="28" customHeight="1">
      <c r="A1240" s="8">
        <v>976</v>
      </c>
      <c r="B1240" s="8" t="s">
        <v>1402</v>
      </c>
      <c r="C1240" s="9" t="s">
        <v>1403</v>
      </c>
      <c r="D1240" s="8" t="s">
        <v>1477</v>
      </c>
      <c r="E1240" s="10" t="s">
        <v>457</v>
      </c>
      <c r="F1240" s="8" t="s">
        <v>481</v>
      </c>
      <c r="G1240" s="8" t="s">
        <v>542</v>
      </c>
    </row>
    <row r="1241" spans="1:7" ht="28" customHeight="1">
      <c r="A1241" s="6">
        <v>977</v>
      </c>
      <c r="B1241" s="6" t="s">
        <v>1402</v>
      </c>
      <c r="C1241" s="7" t="s">
        <v>1403</v>
      </c>
      <c r="D1241" s="6" t="s">
        <v>1478</v>
      </c>
      <c r="E1241" s="6" t="s">
        <v>457</v>
      </c>
      <c r="F1241" s="6" t="s">
        <v>455</v>
      </c>
      <c r="G1241" s="6" t="s">
        <v>542</v>
      </c>
    </row>
    <row r="1242" spans="1:7" ht="28" customHeight="1">
      <c r="A1242" s="8">
        <v>978</v>
      </c>
      <c r="B1242" s="8" t="s">
        <v>1402</v>
      </c>
      <c r="C1242" s="9" t="s">
        <v>1403</v>
      </c>
      <c r="D1242" s="8" t="s">
        <v>1479</v>
      </c>
      <c r="E1242" s="10" t="s">
        <v>561</v>
      </c>
      <c r="F1242" s="8" t="s">
        <v>457</v>
      </c>
      <c r="G1242" s="8" t="s">
        <v>542</v>
      </c>
    </row>
    <row r="1243" spans="1:7" ht="28" customHeight="1">
      <c r="A1243" s="8">
        <v>978</v>
      </c>
      <c r="B1243" s="8" t="s">
        <v>1402</v>
      </c>
      <c r="C1243" s="9" t="s">
        <v>1403</v>
      </c>
      <c r="D1243" s="8" t="s">
        <v>1480</v>
      </c>
      <c r="E1243" s="8" t="s">
        <v>561</v>
      </c>
      <c r="F1243" s="8" t="s">
        <v>457</v>
      </c>
      <c r="G1243" s="8" t="s">
        <v>542</v>
      </c>
    </row>
    <row r="1244" spans="1:7" ht="28" customHeight="1">
      <c r="A1244" s="8">
        <v>978</v>
      </c>
      <c r="B1244" s="8" t="s">
        <v>1402</v>
      </c>
      <c r="C1244" s="9" t="s">
        <v>1403</v>
      </c>
      <c r="D1244" s="8" t="s">
        <v>1481</v>
      </c>
      <c r="E1244" s="8" t="s">
        <v>561</v>
      </c>
      <c r="F1244" s="8" t="s">
        <v>457</v>
      </c>
      <c r="G1244" s="8" t="s">
        <v>542</v>
      </c>
    </row>
    <row r="1245" spans="1:7" ht="28" customHeight="1">
      <c r="A1245" s="6">
        <v>979</v>
      </c>
      <c r="B1245" s="6" t="s">
        <v>1402</v>
      </c>
      <c r="C1245" s="7" t="s">
        <v>1403</v>
      </c>
      <c r="D1245" s="6" t="s">
        <v>1482</v>
      </c>
      <c r="E1245" s="13" t="s">
        <v>515</v>
      </c>
      <c r="F1245" s="6" t="s">
        <v>552</v>
      </c>
      <c r="G1245" s="6" t="s">
        <v>452</v>
      </c>
    </row>
    <row r="1246" spans="1:7" ht="28" customHeight="1">
      <c r="A1246" s="8">
        <v>980</v>
      </c>
      <c r="B1246" s="8" t="s">
        <v>1402</v>
      </c>
      <c r="C1246" s="9" t="s">
        <v>1403</v>
      </c>
      <c r="D1246" s="8" t="s">
        <v>1483</v>
      </c>
      <c r="E1246" s="10" t="s">
        <v>451</v>
      </c>
      <c r="F1246" s="8" t="s">
        <v>483</v>
      </c>
      <c r="G1246" s="8" t="s">
        <v>452</v>
      </c>
    </row>
    <row r="1247" spans="1:7" ht="28" customHeight="1">
      <c r="A1247" s="6">
        <v>981</v>
      </c>
      <c r="B1247" s="6" t="s">
        <v>1402</v>
      </c>
      <c r="C1247" s="7" t="s">
        <v>1403</v>
      </c>
      <c r="D1247" s="6" t="s">
        <v>1484</v>
      </c>
      <c r="E1247" s="6" t="s">
        <v>462</v>
      </c>
      <c r="F1247" s="6" t="s">
        <v>481</v>
      </c>
      <c r="G1247" s="6" t="s">
        <v>452</v>
      </c>
    </row>
    <row r="1248" spans="1:7" ht="28" customHeight="1">
      <c r="A1248" s="8">
        <v>982</v>
      </c>
      <c r="B1248" s="8" t="s">
        <v>1402</v>
      </c>
      <c r="C1248" s="9" t="s">
        <v>1403</v>
      </c>
      <c r="D1248" s="8" t="s">
        <v>1485</v>
      </c>
      <c r="E1248" s="8" t="s">
        <v>462</v>
      </c>
      <c r="F1248" s="8" t="s">
        <v>455</v>
      </c>
      <c r="G1248" s="8" t="s">
        <v>452</v>
      </c>
    </row>
    <row r="1249" spans="1:7" ht="28" customHeight="1">
      <c r="A1249" s="8">
        <v>982</v>
      </c>
      <c r="B1249" s="8" t="s">
        <v>1402</v>
      </c>
      <c r="C1249" s="9" t="s">
        <v>1403</v>
      </c>
      <c r="D1249" s="8" t="s">
        <v>1486</v>
      </c>
      <c r="E1249" s="8" t="s">
        <v>462</v>
      </c>
      <c r="F1249" s="8" t="s">
        <v>455</v>
      </c>
      <c r="G1249" s="8" t="s">
        <v>452</v>
      </c>
    </row>
    <row r="1250" spans="1:7" ht="28" customHeight="1">
      <c r="A1250" s="6">
        <v>983</v>
      </c>
      <c r="B1250" s="6" t="s">
        <v>1402</v>
      </c>
      <c r="C1250" s="7" t="s">
        <v>1403</v>
      </c>
      <c r="D1250" s="6" t="s">
        <v>1487</v>
      </c>
      <c r="E1250" s="13" t="s">
        <v>465</v>
      </c>
      <c r="F1250" s="6" t="s">
        <v>486</v>
      </c>
      <c r="G1250" s="6" t="s">
        <v>452</v>
      </c>
    </row>
    <row r="1251" spans="1:7" ht="28" customHeight="1">
      <c r="A1251" s="8">
        <v>984</v>
      </c>
      <c r="B1251" s="8" t="s">
        <v>1402</v>
      </c>
      <c r="C1251" s="9" t="s">
        <v>1403</v>
      </c>
      <c r="D1251" s="8" t="s">
        <v>1488</v>
      </c>
      <c r="E1251" s="10" t="s">
        <v>483</v>
      </c>
      <c r="F1251" s="8" t="s">
        <v>515</v>
      </c>
      <c r="G1251" s="8" t="s">
        <v>542</v>
      </c>
    </row>
    <row r="1252" spans="1:7" ht="28" customHeight="1">
      <c r="A1252" s="6">
        <v>985</v>
      </c>
      <c r="B1252" s="6" t="s">
        <v>1402</v>
      </c>
      <c r="C1252" s="7" t="s">
        <v>1403</v>
      </c>
      <c r="D1252" s="6" t="s">
        <v>1489</v>
      </c>
      <c r="E1252" s="13" t="s">
        <v>494</v>
      </c>
      <c r="F1252" s="6" t="s">
        <v>481</v>
      </c>
      <c r="G1252" s="6" t="s">
        <v>542</v>
      </c>
    </row>
    <row r="1253" spans="1:7" ht="28" customHeight="1">
      <c r="A1253" s="8">
        <v>986</v>
      </c>
      <c r="B1253" s="8" t="s">
        <v>1402</v>
      </c>
      <c r="C1253" s="9" t="s">
        <v>1403</v>
      </c>
      <c r="D1253" s="8" t="s">
        <v>1490</v>
      </c>
      <c r="E1253" s="10" t="s">
        <v>450</v>
      </c>
      <c r="F1253" s="8" t="s">
        <v>465</v>
      </c>
      <c r="G1253" s="8" t="s">
        <v>542</v>
      </c>
    </row>
    <row r="1254" spans="1:7" ht="28" customHeight="1">
      <c r="A1254" s="6">
        <v>987</v>
      </c>
      <c r="B1254" s="6" t="s">
        <v>1402</v>
      </c>
      <c r="C1254" s="7" t="s">
        <v>1403</v>
      </c>
      <c r="D1254" s="6" t="s">
        <v>1491</v>
      </c>
      <c r="E1254" s="13" t="s">
        <v>552</v>
      </c>
      <c r="F1254" s="6" t="s">
        <v>494</v>
      </c>
      <c r="G1254" s="6" t="s">
        <v>542</v>
      </c>
    </row>
    <row r="1255" spans="1:7" ht="28" customHeight="1">
      <c r="A1255" s="8">
        <v>988</v>
      </c>
      <c r="B1255" s="8" t="s">
        <v>1402</v>
      </c>
      <c r="C1255" s="9" t="s">
        <v>1403</v>
      </c>
      <c r="D1255" s="8" t="s">
        <v>1492</v>
      </c>
      <c r="E1255" s="10" t="s">
        <v>460</v>
      </c>
      <c r="F1255" s="8" t="s">
        <v>515</v>
      </c>
      <c r="G1255" s="8" t="s">
        <v>542</v>
      </c>
    </row>
    <row r="1256" spans="1:7" ht="28" customHeight="1">
      <c r="A1256" s="6">
        <v>989</v>
      </c>
      <c r="B1256" s="6" t="s">
        <v>1402</v>
      </c>
      <c r="C1256" s="7" t="s">
        <v>1403</v>
      </c>
      <c r="D1256" s="6" t="s">
        <v>1493</v>
      </c>
      <c r="E1256" s="13" t="s">
        <v>471</v>
      </c>
      <c r="F1256" s="6" t="s">
        <v>483</v>
      </c>
      <c r="G1256" s="6" t="s">
        <v>542</v>
      </c>
    </row>
    <row r="1257" spans="1:7" ht="28" customHeight="1">
      <c r="A1257" s="8">
        <v>990</v>
      </c>
      <c r="B1257" s="8" t="s">
        <v>1402</v>
      </c>
      <c r="C1257" s="9" t="s">
        <v>1403</v>
      </c>
      <c r="D1257" s="8" t="s">
        <v>1494</v>
      </c>
      <c r="E1257" s="10" t="s">
        <v>483</v>
      </c>
      <c r="F1257" s="8" t="s">
        <v>486</v>
      </c>
      <c r="G1257" s="8" t="s">
        <v>542</v>
      </c>
    </row>
    <row r="1258" spans="1:7" ht="28" customHeight="1">
      <c r="A1258" s="6">
        <v>991</v>
      </c>
      <c r="B1258" s="6" t="s">
        <v>1402</v>
      </c>
      <c r="C1258" s="7" t="s">
        <v>1403</v>
      </c>
      <c r="D1258" s="6" t="s">
        <v>1495</v>
      </c>
      <c r="E1258" s="13" t="s">
        <v>485</v>
      </c>
      <c r="F1258" s="6" t="s">
        <v>457</v>
      </c>
      <c r="G1258" s="6" t="s">
        <v>542</v>
      </c>
    </row>
    <row r="1259" spans="1:7" ht="28" customHeight="1">
      <c r="A1259" s="8">
        <v>992</v>
      </c>
      <c r="B1259" s="8" t="s">
        <v>1402</v>
      </c>
      <c r="C1259" s="9" t="s">
        <v>1403</v>
      </c>
      <c r="D1259" s="8" t="s">
        <v>1496</v>
      </c>
      <c r="E1259" s="10" t="s">
        <v>515</v>
      </c>
      <c r="F1259" s="8" t="s">
        <v>471</v>
      </c>
      <c r="G1259" s="8" t="s">
        <v>542</v>
      </c>
    </row>
    <row r="1260" spans="1:7" ht="28" customHeight="1">
      <c r="A1260" s="6">
        <v>993</v>
      </c>
      <c r="B1260" s="6" t="s">
        <v>1402</v>
      </c>
      <c r="C1260" s="7" t="s">
        <v>1403</v>
      </c>
      <c r="D1260" s="6" t="s">
        <v>1497</v>
      </c>
      <c r="E1260" s="13" t="s">
        <v>465</v>
      </c>
      <c r="F1260" s="6" t="s">
        <v>456</v>
      </c>
      <c r="G1260" s="6" t="s">
        <v>542</v>
      </c>
    </row>
    <row r="1261" spans="1:7" ht="28" customHeight="1">
      <c r="A1261" s="8">
        <v>994</v>
      </c>
      <c r="B1261" s="8" t="s">
        <v>1402</v>
      </c>
      <c r="C1261" s="9" t="s">
        <v>1403</v>
      </c>
      <c r="D1261" s="8" t="s">
        <v>1498</v>
      </c>
      <c r="E1261" s="10" t="s">
        <v>454</v>
      </c>
      <c r="F1261" s="8" t="s">
        <v>451</v>
      </c>
      <c r="G1261" s="8" t="s">
        <v>542</v>
      </c>
    </row>
    <row r="1262" spans="1:7" ht="28" customHeight="1">
      <c r="A1262" s="6">
        <v>995</v>
      </c>
      <c r="B1262" s="6" t="s">
        <v>1402</v>
      </c>
      <c r="C1262" s="7" t="s">
        <v>1403</v>
      </c>
      <c r="D1262" s="6" t="s">
        <v>1499</v>
      </c>
      <c r="E1262" s="13" t="s">
        <v>519</v>
      </c>
      <c r="F1262" s="6" t="s">
        <v>471</v>
      </c>
      <c r="G1262" s="6" t="s">
        <v>542</v>
      </c>
    </row>
    <row r="1263" spans="1:7" ht="28" customHeight="1">
      <c r="A1263" s="8">
        <v>996</v>
      </c>
      <c r="B1263" s="8" t="s">
        <v>1402</v>
      </c>
      <c r="C1263" s="9" t="s">
        <v>1403</v>
      </c>
      <c r="D1263" s="8" t="s">
        <v>1500</v>
      </c>
      <c r="E1263" s="10" t="s">
        <v>561</v>
      </c>
      <c r="F1263" s="8" t="s">
        <v>485</v>
      </c>
      <c r="G1263" s="8" t="s">
        <v>452</v>
      </c>
    </row>
    <row r="1264" spans="1:7" ht="28" customHeight="1">
      <c r="A1264" s="6">
        <v>997</v>
      </c>
      <c r="B1264" s="6" t="s">
        <v>1402</v>
      </c>
      <c r="C1264" s="7" t="s">
        <v>1403</v>
      </c>
      <c r="D1264" s="6" t="s">
        <v>1501</v>
      </c>
      <c r="E1264" s="13" t="s">
        <v>561</v>
      </c>
      <c r="F1264" s="6" t="s">
        <v>485</v>
      </c>
      <c r="G1264" s="6" t="s">
        <v>452</v>
      </c>
    </row>
    <row r="1265" spans="1:7" ht="28" customHeight="1">
      <c r="A1265" s="8">
        <v>998</v>
      </c>
      <c r="B1265" s="8" t="s">
        <v>1402</v>
      </c>
      <c r="C1265" s="9" t="s">
        <v>1403</v>
      </c>
      <c r="D1265" s="8" t="s">
        <v>1502</v>
      </c>
      <c r="E1265" s="10" t="s">
        <v>561</v>
      </c>
      <c r="F1265" s="8" t="s">
        <v>485</v>
      </c>
      <c r="G1265" s="8" t="s">
        <v>452</v>
      </c>
    </row>
    <row r="1266" spans="1:7" ht="28" customHeight="1">
      <c r="A1266" s="6">
        <v>999</v>
      </c>
      <c r="B1266" s="6" t="s">
        <v>1402</v>
      </c>
      <c r="C1266" s="7" t="s">
        <v>1403</v>
      </c>
      <c r="D1266" s="6" t="s">
        <v>1503</v>
      </c>
      <c r="E1266" s="6" t="s">
        <v>552</v>
      </c>
      <c r="F1266" s="6" t="s">
        <v>455</v>
      </c>
      <c r="G1266" s="6" t="s">
        <v>452</v>
      </c>
    </row>
    <row r="1267" spans="1:7" ht="28" customHeight="1">
      <c r="A1267" s="6">
        <v>999</v>
      </c>
      <c r="B1267" s="6" t="s">
        <v>1402</v>
      </c>
      <c r="C1267" s="7" t="s">
        <v>1403</v>
      </c>
      <c r="D1267" s="6" t="s">
        <v>1504</v>
      </c>
      <c r="E1267" s="6" t="s">
        <v>552</v>
      </c>
      <c r="F1267" s="6" t="s">
        <v>455</v>
      </c>
      <c r="G1267" s="6" t="s">
        <v>452</v>
      </c>
    </row>
    <row r="1268" spans="1:7" ht="28" customHeight="1">
      <c r="A1268" s="8">
        <v>1000</v>
      </c>
      <c r="B1268" s="8" t="s">
        <v>1402</v>
      </c>
      <c r="C1268" s="9" t="s">
        <v>1403</v>
      </c>
      <c r="D1268" s="8" t="s">
        <v>1505</v>
      </c>
      <c r="E1268" s="10" t="s">
        <v>486</v>
      </c>
      <c r="F1268" s="8" t="s">
        <v>552</v>
      </c>
      <c r="G1268" s="8" t="s">
        <v>452</v>
      </c>
    </row>
    <row r="1269" spans="1:7" ht="28" customHeight="1">
      <c r="A1269" s="6">
        <v>1001</v>
      </c>
      <c r="B1269" s="6" t="s">
        <v>1402</v>
      </c>
      <c r="C1269" s="7" t="s">
        <v>1403</v>
      </c>
      <c r="D1269" s="6" t="s">
        <v>1506</v>
      </c>
      <c r="E1269" s="13" t="s">
        <v>465</v>
      </c>
      <c r="F1269" s="6" t="s">
        <v>450</v>
      </c>
      <c r="G1269" s="6" t="s">
        <v>542</v>
      </c>
    </row>
    <row r="1270" spans="1:7" ht="28" customHeight="1">
      <c r="A1270" s="8">
        <v>1002</v>
      </c>
      <c r="B1270" s="8" t="s">
        <v>1402</v>
      </c>
      <c r="C1270" s="9" t="s">
        <v>1403</v>
      </c>
      <c r="D1270" s="8" t="s">
        <v>1507</v>
      </c>
      <c r="E1270" s="10" t="s">
        <v>465</v>
      </c>
      <c r="F1270" s="8" t="s">
        <v>485</v>
      </c>
      <c r="G1270" s="8" t="s">
        <v>542</v>
      </c>
    </row>
    <row r="1271" spans="1:7" ht="28" customHeight="1">
      <c r="A1271" s="6">
        <v>1003</v>
      </c>
      <c r="B1271" s="6" t="s">
        <v>1402</v>
      </c>
      <c r="C1271" s="7" t="s">
        <v>1403</v>
      </c>
      <c r="D1271" s="6" t="s">
        <v>1508</v>
      </c>
      <c r="E1271" s="13" t="s">
        <v>465</v>
      </c>
      <c r="F1271" s="6" t="s">
        <v>483</v>
      </c>
      <c r="G1271" s="6" t="s">
        <v>542</v>
      </c>
    </row>
    <row r="1272" spans="1:7" ht="28" customHeight="1">
      <c r="A1272" s="8">
        <v>1004</v>
      </c>
      <c r="B1272" s="8" t="s">
        <v>1402</v>
      </c>
      <c r="C1272" s="9" t="s">
        <v>1403</v>
      </c>
      <c r="D1272" s="8" t="s">
        <v>1509</v>
      </c>
      <c r="E1272" s="10" t="s">
        <v>465</v>
      </c>
      <c r="F1272" s="8" t="s">
        <v>454</v>
      </c>
      <c r="G1272" s="8" t="s">
        <v>542</v>
      </c>
    </row>
    <row r="1273" spans="1:7" ht="28" customHeight="1">
      <c r="A1273" s="6">
        <v>1005</v>
      </c>
      <c r="B1273" s="6" t="s">
        <v>1402</v>
      </c>
      <c r="C1273" s="7" t="s">
        <v>1403</v>
      </c>
      <c r="D1273" s="6" t="s">
        <v>1510</v>
      </c>
      <c r="E1273" s="13" t="s">
        <v>561</v>
      </c>
      <c r="F1273" s="6" t="s">
        <v>465</v>
      </c>
      <c r="G1273" s="6" t="s">
        <v>542</v>
      </c>
    </row>
    <row r="1274" spans="1:7" ht="28" customHeight="1">
      <c r="A1274" s="8">
        <v>1006</v>
      </c>
      <c r="B1274" s="8" t="s">
        <v>1402</v>
      </c>
      <c r="C1274" s="9" t="s">
        <v>1403</v>
      </c>
      <c r="D1274" s="8" t="s">
        <v>1511</v>
      </c>
      <c r="E1274" s="10" t="s">
        <v>494</v>
      </c>
      <c r="F1274" s="8" t="s">
        <v>515</v>
      </c>
      <c r="G1274" s="8" t="s">
        <v>542</v>
      </c>
    </row>
    <row r="1275" spans="1:7" ht="28" customHeight="1">
      <c r="A1275" s="6">
        <v>1007</v>
      </c>
      <c r="B1275" s="6" t="s">
        <v>1402</v>
      </c>
      <c r="C1275" s="7" t="s">
        <v>1403</v>
      </c>
      <c r="D1275" s="6" t="s">
        <v>1512</v>
      </c>
      <c r="E1275" s="13" t="s">
        <v>515</v>
      </c>
      <c r="F1275" s="6" t="s">
        <v>561</v>
      </c>
      <c r="G1275" s="6" t="s">
        <v>542</v>
      </c>
    </row>
    <row r="1276" spans="1:7" ht="28" customHeight="1">
      <c r="A1276" s="8">
        <v>1008</v>
      </c>
      <c r="B1276" s="8" t="s">
        <v>1402</v>
      </c>
      <c r="C1276" s="9" t="s">
        <v>1403</v>
      </c>
      <c r="D1276" s="8" t="s">
        <v>1513</v>
      </c>
      <c r="E1276" s="10" t="s">
        <v>471</v>
      </c>
      <c r="F1276" s="8" t="s">
        <v>561</v>
      </c>
      <c r="G1276" s="8" t="s">
        <v>542</v>
      </c>
    </row>
    <row r="1277" spans="1:7" ht="28" customHeight="1">
      <c r="A1277" s="6">
        <v>1009</v>
      </c>
      <c r="B1277" s="6" t="s">
        <v>1402</v>
      </c>
      <c r="C1277" s="7" t="s">
        <v>1403</v>
      </c>
      <c r="D1277" s="6" t="s">
        <v>1514</v>
      </c>
      <c r="E1277" s="13" t="s">
        <v>457</v>
      </c>
      <c r="F1277" s="6" t="s">
        <v>561</v>
      </c>
      <c r="G1277" s="6" t="s">
        <v>542</v>
      </c>
    </row>
    <row r="1278" spans="1:7" ht="28" customHeight="1">
      <c r="A1278" s="8">
        <v>1010</v>
      </c>
      <c r="B1278" s="8" t="s">
        <v>1402</v>
      </c>
      <c r="C1278" s="9" t="s">
        <v>1403</v>
      </c>
      <c r="D1278" s="8" t="s">
        <v>1515</v>
      </c>
      <c r="E1278" s="10" t="s">
        <v>450</v>
      </c>
      <c r="F1278" s="8" t="s">
        <v>481</v>
      </c>
      <c r="G1278" s="8" t="s">
        <v>542</v>
      </c>
    </row>
    <row r="1279" spans="1:7" ht="28" customHeight="1">
      <c r="A1279" s="6">
        <v>1011</v>
      </c>
      <c r="B1279" s="6" t="s">
        <v>1402</v>
      </c>
      <c r="C1279" s="7" t="s">
        <v>1403</v>
      </c>
      <c r="D1279" s="6" t="s">
        <v>1516</v>
      </c>
      <c r="E1279" s="13" t="s">
        <v>450</v>
      </c>
      <c r="F1279" s="6" t="s">
        <v>561</v>
      </c>
      <c r="G1279" s="6" t="s">
        <v>452</v>
      </c>
    </row>
    <row r="1280" spans="1:7" ht="28" customHeight="1">
      <c r="A1280" s="8">
        <v>1012</v>
      </c>
      <c r="B1280" s="8" t="s">
        <v>1402</v>
      </c>
      <c r="C1280" s="9" t="s">
        <v>1403</v>
      </c>
      <c r="D1280" s="8" t="s">
        <v>1517</v>
      </c>
      <c r="E1280" s="10" t="s">
        <v>450</v>
      </c>
      <c r="F1280" s="8" t="s">
        <v>552</v>
      </c>
      <c r="G1280" s="8" t="s">
        <v>452</v>
      </c>
    </row>
    <row r="1281" spans="1:7" ht="28" customHeight="1">
      <c r="A1281" s="8">
        <v>1012</v>
      </c>
      <c r="B1281" s="8" t="s">
        <v>1402</v>
      </c>
      <c r="C1281" s="9" t="s">
        <v>1403</v>
      </c>
      <c r="D1281" s="8" t="s">
        <v>1518</v>
      </c>
      <c r="E1281" s="8" t="s">
        <v>450</v>
      </c>
      <c r="F1281" s="8" t="s">
        <v>552</v>
      </c>
      <c r="G1281" s="8" t="s">
        <v>452</v>
      </c>
    </row>
    <row r="1282" spans="1:7" ht="28" customHeight="1">
      <c r="A1282" s="6">
        <v>1013</v>
      </c>
      <c r="B1282" s="6" t="s">
        <v>1402</v>
      </c>
      <c r="C1282" s="7" t="s">
        <v>1403</v>
      </c>
      <c r="D1282" s="6" t="s">
        <v>1519</v>
      </c>
      <c r="E1282" s="6" t="s">
        <v>450</v>
      </c>
      <c r="F1282" s="6" t="s">
        <v>552</v>
      </c>
      <c r="G1282" s="6" t="s">
        <v>452</v>
      </c>
    </row>
    <row r="1283" spans="1:7" ht="28" customHeight="1">
      <c r="A1283" s="6">
        <v>1013</v>
      </c>
      <c r="B1283" s="6" t="s">
        <v>1402</v>
      </c>
      <c r="C1283" s="7" t="s">
        <v>1403</v>
      </c>
      <c r="D1283" s="6" t="s">
        <v>1520</v>
      </c>
      <c r="E1283" s="6" t="s">
        <v>450</v>
      </c>
      <c r="F1283" s="6" t="s">
        <v>552</v>
      </c>
      <c r="G1283" s="6" t="s">
        <v>452</v>
      </c>
    </row>
    <row r="1284" spans="1:7" ht="28" customHeight="1">
      <c r="A1284" s="8">
        <v>1014</v>
      </c>
      <c r="B1284" s="8" t="s">
        <v>1402</v>
      </c>
      <c r="C1284" s="9" t="s">
        <v>1403</v>
      </c>
      <c r="D1284" s="8" t="s">
        <v>1521</v>
      </c>
      <c r="E1284" s="10" t="s">
        <v>451</v>
      </c>
      <c r="F1284" s="8" t="s">
        <v>515</v>
      </c>
      <c r="G1284" s="8" t="s">
        <v>542</v>
      </c>
    </row>
    <row r="1285" spans="1:7" ht="28" customHeight="1">
      <c r="A1285" s="6">
        <v>1015</v>
      </c>
      <c r="B1285" s="6" t="s">
        <v>1402</v>
      </c>
      <c r="C1285" s="7" t="s">
        <v>1403</v>
      </c>
      <c r="D1285" s="6" t="s">
        <v>1522</v>
      </c>
      <c r="E1285" s="13" t="s">
        <v>451</v>
      </c>
      <c r="F1285" s="6" t="s">
        <v>481</v>
      </c>
      <c r="G1285" s="6" t="s">
        <v>542</v>
      </c>
    </row>
    <row r="1286" spans="1:7" ht="28" customHeight="1">
      <c r="A1286" s="8">
        <v>1016</v>
      </c>
      <c r="B1286" s="8" t="s">
        <v>1402</v>
      </c>
      <c r="C1286" s="9" t="s">
        <v>1403</v>
      </c>
      <c r="D1286" s="8" t="s">
        <v>1523</v>
      </c>
      <c r="E1286" s="8" t="s">
        <v>451</v>
      </c>
      <c r="F1286" s="8" t="s">
        <v>494</v>
      </c>
      <c r="G1286" s="8" t="s">
        <v>542</v>
      </c>
    </row>
    <row r="1287" spans="1:7" ht="28" customHeight="1">
      <c r="A1287" s="6">
        <v>1017</v>
      </c>
      <c r="B1287" s="6" t="s">
        <v>1402</v>
      </c>
      <c r="C1287" s="7" t="s">
        <v>1403</v>
      </c>
      <c r="D1287" s="6" t="s">
        <v>1524</v>
      </c>
      <c r="E1287" s="6" t="s">
        <v>450</v>
      </c>
      <c r="F1287" s="6" t="s">
        <v>455</v>
      </c>
      <c r="G1287" s="6" t="s">
        <v>542</v>
      </c>
    </row>
    <row r="1288" spans="1:7" ht="28" customHeight="1">
      <c r="A1288" s="8">
        <v>1018</v>
      </c>
      <c r="B1288" s="8" t="s">
        <v>1402</v>
      </c>
      <c r="C1288" s="9" t="s">
        <v>1403</v>
      </c>
      <c r="D1288" s="8" t="s">
        <v>1525</v>
      </c>
      <c r="E1288" s="10" t="s">
        <v>486</v>
      </c>
      <c r="F1288" s="8" t="s">
        <v>561</v>
      </c>
      <c r="G1288" s="8" t="s">
        <v>452</v>
      </c>
    </row>
    <row r="1289" spans="1:7" ht="28" customHeight="1">
      <c r="A1289" s="6">
        <v>1019</v>
      </c>
      <c r="B1289" s="6" t="s">
        <v>1402</v>
      </c>
      <c r="C1289" s="7" t="s">
        <v>1403</v>
      </c>
      <c r="D1289" s="6" t="s">
        <v>1526</v>
      </c>
      <c r="E1289" s="6" t="s">
        <v>450</v>
      </c>
      <c r="F1289" s="6" t="s">
        <v>561</v>
      </c>
      <c r="G1289" s="6" t="s">
        <v>452</v>
      </c>
    </row>
    <row r="1290" spans="1:7" ht="28" customHeight="1">
      <c r="A1290" s="8">
        <v>1020</v>
      </c>
      <c r="B1290" s="8" t="s">
        <v>1402</v>
      </c>
      <c r="C1290" s="9" t="s">
        <v>1403</v>
      </c>
      <c r="D1290" s="8" t="s">
        <v>1527</v>
      </c>
      <c r="E1290" s="8" t="s">
        <v>454</v>
      </c>
      <c r="F1290" s="8" t="s">
        <v>561</v>
      </c>
      <c r="G1290" s="8" t="s">
        <v>542</v>
      </c>
    </row>
    <row r="1291" spans="1:7" ht="28" customHeight="1">
      <c r="A1291" s="6">
        <v>1021</v>
      </c>
      <c r="B1291" s="6" t="s">
        <v>1402</v>
      </c>
      <c r="C1291" s="7" t="s">
        <v>1403</v>
      </c>
      <c r="D1291" s="6" t="s">
        <v>1528</v>
      </c>
      <c r="E1291" s="13" t="s">
        <v>471</v>
      </c>
      <c r="F1291" s="6" t="s">
        <v>561</v>
      </c>
      <c r="G1291" s="6" t="s">
        <v>542</v>
      </c>
    </row>
    <row r="1292" spans="1:7" ht="28" customHeight="1">
      <c r="A1292" s="8">
        <v>1022</v>
      </c>
      <c r="B1292" s="8" t="s">
        <v>1402</v>
      </c>
      <c r="C1292" s="9" t="s">
        <v>1403</v>
      </c>
      <c r="D1292" s="8" t="s">
        <v>1529</v>
      </c>
      <c r="E1292" s="8" t="s">
        <v>519</v>
      </c>
      <c r="F1292" s="8" t="s">
        <v>481</v>
      </c>
      <c r="G1292" s="8" t="s">
        <v>542</v>
      </c>
    </row>
    <row r="1293" spans="1:7" ht="28" customHeight="1">
      <c r="A1293" s="6">
        <v>1023</v>
      </c>
      <c r="B1293" s="6" t="s">
        <v>1402</v>
      </c>
      <c r="C1293" s="7" t="s">
        <v>1403</v>
      </c>
      <c r="D1293" s="6" t="s">
        <v>1530</v>
      </c>
      <c r="E1293" s="6" t="s">
        <v>486</v>
      </c>
      <c r="F1293" s="6" t="s">
        <v>481</v>
      </c>
      <c r="G1293" s="6" t="s">
        <v>542</v>
      </c>
    </row>
    <row r="1294" spans="1:7" ht="28" customHeight="1">
      <c r="A1294" s="8">
        <v>1024</v>
      </c>
      <c r="B1294" s="8" t="s">
        <v>1402</v>
      </c>
      <c r="C1294" s="9" t="s">
        <v>1403</v>
      </c>
      <c r="D1294" s="8" t="s">
        <v>1531</v>
      </c>
      <c r="E1294" s="8" t="s">
        <v>462</v>
      </c>
      <c r="F1294" s="8" t="s">
        <v>455</v>
      </c>
      <c r="G1294" s="8" t="s">
        <v>542</v>
      </c>
    </row>
    <row r="1295" spans="1:7" ht="28" customHeight="1">
      <c r="A1295" s="6">
        <v>1025</v>
      </c>
      <c r="B1295" s="6" t="s">
        <v>1402</v>
      </c>
      <c r="C1295" s="7" t="s">
        <v>1403</v>
      </c>
      <c r="D1295" s="6" t="s">
        <v>1532</v>
      </c>
      <c r="E1295" s="6" t="s">
        <v>451</v>
      </c>
      <c r="F1295" s="6" t="s">
        <v>552</v>
      </c>
      <c r="G1295" s="6" t="s">
        <v>542</v>
      </c>
    </row>
  </sheetData>
  <dataValidations count="1">
    <dataValidation type="list" allowBlank="1" showInputMessage="1" showErrorMessage="1" sqref="G2:G1295" xr:uid="{B83C7FA4-0785-4CDB-B920-290991590610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DAF10-B2E9-4777-B948-7FE251E26E72}">
  <dimension ref="A1:S1001"/>
  <sheetViews>
    <sheetView workbookViewId="0">
      <selection activeCell="D7" sqref="D7"/>
    </sheetView>
  </sheetViews>
  <sheetFormatPr defaultColWidth="12.54296875" defaultRowHeight="14.5"/>
  <cols>
    <col min="1" max="1" width="19.81640625" customWidth="1"/>
    <col min="2" max="2" width="14.453125" customWidth="1"/>
    <col min="3" max="3" width="24.7265625" customWidth="1"/>
    <col min="4" max="4" width="23.453125" customWidth="1"/>
    <col min="11" max="12" width="19.1796875" customWidth="1"/>
  </cols>
  <sheetData>
    <row r="1" spans="1:19" ht="51" customHeight="1">
      <c r="A1" s="15" t="s">
        <v>1533</v>
      </c>
      <c r="B1" s="15" t="s">
        <v>1534</v>
      </c>
      <c r="C1" s="15" t="s">
        <v>1535</v>
      </c>
      <c r="D1" s="16" t="s">
        <v>1536</v>
      </c>
      <c r="F1" s="17"/>
      <c r="G1" s="18"/>
      <c r="H1" s="19"/>
      <c r="I1" s="20"/>
      <c r="J1" s="19"/>
      <c r="K1" s="19"/>
      <c r="L1" s="19"/>
      <c r="M1" s="19"/>
      <c r="N1" s="19"/>
      <c r="O1" s="19"/>
      <c r="P1" s="21"/>
      <c r="Q1" s="22"/>
      <c r="S1" s="23"/>
    </row>
    <row r="2" spans="1:19" ht="49.5" hidden="1" customHeight="1">
      <c r="A2" s="24" t="s">
        <v>449</v>
      </c>
      <c r="B2" s="25" t="s">
        <v>1537</v>
      </c>
      <c r="C2" s="18"/>
      <c r="D2" s="26"/>
    </row>
    <row r="3" spans="1:19" ht="37.5" hidden="1" customHeight="1">
      <c r="A3" s="27" t="s">
        <v>453</v>
      </c>
      <c r="B3" s="27" t="s">
        <v>1538</v>
      </c>
      <c r="C3" s="28"/>
      <c r="D3" s="29"/>
    </row>
    <row r="4" spans="1:19" ht="36.75" hidden="1" customHeight="1">
      <c r="A4" s="24" t="s">
        <v>1539</v>
      </c>
      <c r="B4" s="25" t="s">
        <v>1540</v>
      </c>
      <c r="C4" s="18"/>
      <c r="D4" s="30"/>
    </row>
    <row r="5" spans="1:19" ht="54.75" customHeight="1">
      <c r="A5" s="27" t="s">
        <v>15</v>
      </c>
      <c r="B5" s="27" t="s">
        <v>1541</v>
      </c>
      <c r="C5" s="28" t="e">
        <f ca="1">image("https://www.serebii.net/Shiny/HGSS/004.png",4,100,100)</f>
        <v>#NAME?</v>
      </c>
      <c r="D5" s="31" t="s">
        <v>455</v>
      </c>
      <c r="E5" s="32"/>
      <c r="N5" s="33"/>
      <c r="O5" s="33"/>
      <c r="P5" s="33"/>
      <c r="Q5" s="33"/>
    </row>
    <row r="6" spans="1:19" ht="51" customHeight="1">
      <c r="A6" s="24" t="s">
        <v>21</v>
      </c>
      <c r="B6" s="25" t="s">
        <v>1542</v>
      </c>
      <c r="C6" s="18" t="e">
        <f ca="1">image("https://www.serebii.net/Shiny/HGSS/005.png",4,100,100)</f>
        <v>#NAME?</v>
      </c>
      <c r="D6" s="30" t="s">
        <v>455</v>
      </c>
      <c r="E6" s="32"/>
    </row>
    <row r="7" spans="1:19" ht="123" customHeight="1">
      <c r="A7" s="27" t="s">
        <v>23</v>
      </c>
      <c r="B7" s="27" t="s">
        <v>1543</v>
      </c>
      <c r="C7" s="28" t="e">
        <f ca="1">image("https://www.serebii.net/Shiny/HGSS/006.png",4,100,100)</f>
        <v>#NAME?</v>
      </c>
      <c r="D7" s="29" t="s">
        <v>455</v>
      </c>
      <c r="E7" s="32"/>
    </row>
    <row r="8" spans="1:19" ht="48.75" customHeight="1">
      <c r="A8" s="24" t="s">
        <v>26</v>
      </c>
      <c r="B8" s="25" t="s">
        <v>1544</v>
      </c>
      <c r="C8" s="18" t="e">
        <f ca="1">image("https://www.serebii.net/Shiny/HGSS/007.png",4,100,100)</f>
        <v>#NAME?</v>
      </c>
      <c r="D8" s="30">
        <v>20</v>
      </c>
    </row>
    <row r="9" spans="1:19" ht="37.5" hidden="1" customHeight="1">
      <c r="A9" s="27" t="s">
        <v>29</v>
      </c>
      <c r="B9" s="27" t="s">
        <v>1545</v>
      </c>
      <c r="C9" s="28"/>
      <c r="D9" s="29"/>
    </row>
    <row r="10" spans="1:19" ht="36.75" hidden="1" customHeight="1">
      <c r="A10" s="24" t="s">
        <v>458</v>
      </c>
      <c r="B10" s="25" t="s">
        <v>1546</v>
      </c>
      <c r="C10" s="18"/>
      <c r="D10" s="30"/>
    </row>
    <row r="11" spans="1:19" ht="37.5" hidden="1" customHeight="1">
      <c r="A11" s="27" t="s">
        <v>459</v>
      </c>
      <c r="B11" s="27" t="s">
        <v>1547</v>
      </c>
      <c r="C11" s="28"/>
      <c r="D11" s="29"/>
    </row>
    <row r="12" spans="1:19" ht="36.75" hidden="1" customHeight="1">
      <c r="A12" s="24" t="s">
        <v>461</v>
      </c>
      <c r="B12" s="25" t="s">
        <v>1548</v>
      </c>
      <c r="C12" s="18"/>
      <c r="D12" s="30"/>
    </row>
    <row r="13" spans="1:19" ht="37.5" hidden="1" customHeight="1">
      <c r="A13" s="27" t="s">
        <v>1549</v>
      </c>
      <c r="B13" s="27" t="s">
        <v>1550</v>
      </c>
      <c r="C13" s="28"/>
      <c r="D13" s="29"/>
    </row>
    <row r="14" spans="1:19" ht="51.75" customHeight="1">
      <c r="A14" s="24" t="s">
        <v>31</v>
      </c>
      <c r="B14" s="25" t="s">
        <v>1551</v>
      </c>
      <c r="C14" s="18" t="e">
        <f ca="1">image("https://www.serebii.net/Shiny/HGSS/013.png",4,100,100)</f>
        <v>#NAME?</v>
      </c>
      <c r="D14" s="30" t="s">
        <v>455</v>
      </c>
      <c r="E14" s="32"/>
    </row>
    <row r="15" spans="1:19" ht="37.5" customHeight="1">
      <c r="A15" s="27" t="s">
        <v>35</v>
      </c>
      <c r="B15" s="27" t="s">
        <v>1552</v>
      </c>
      <c r="C15" s="28" t="e">
        <f ca="1">image("https://www.serebii.net/Shiny/HGSS/014.png",4,100,100)</f>
        <v>#NAME?</v>
      </c>
      <c r="D15" s="29" t="s">
        <v>455</v>
      </c>
    </row>
    <row r="16" spans="1:19" ht="74.25" customHeight="1">
      <c r="A16" s="24" t="s">
        <v>38</v>
      </c>
      <c r="B16" s="25" t="s">
        <v>1553</v>
      </c>
      <c r="C16" s="18" t="e">
        <f ca="1">image("https://www.serebii.net/Shiny/HGSS/015.png",4,100,100)</f>
        <v>#NAME?</v>
      </c>
      <c r="D16" s="30" t="s">
        <v>455</v>
      </c>
      <c r="E16" s="32"/>
    </row>
    <row r="17" spans="1:6" ht="51" customHeight="1">
      <c r="A17" s="34" t="s">
        <v>41</v>
      </c>
      <c r="B17" s="27" t="s">
        <v>1554</v>
      </c>
      <c r="C17" s="28" t="e">
        <f ca="1">image("https://www.serebii.net/Shiny/HGSS/016.png",4,100,100)</f>
        <v>#NAME?</v>
      </c>
      <c r="D17" s="35" t="s">
        <v>455</v>
      </c>
      <c r="E17" s="32"/>
    </row>
    <row r="18" spans="1:6" ht="51.75" hidden="1" customHeight="1">
      <c r="A18" s="24" t="s">
        <v>463</v>
      </c>
      <c r="B18" s="25" t="s">
        <v>1555</v>
      </c>
      <c r="C18" s="22"/>
      <c r="D18" s="30"/>
    </row>
    <row r="19" spans="1:6" ht="71.25" customHeight="1">
      <c r="A19" s="27" t="s">
        <v>44</v>
      </c>
      <c r="B19" s="27" t="s">
        <v>1556</v>
      </c>
      <c r="C19" s="28" t="e">
        <f ca="1">image("https://www.serebii.net/Shiny/HGSS/018.png",4,100,100)</f>
        <v>#NAME?</v>
      </c>
      <c r="D19" s="29" t="s">
        <v>455</v>
      </c>
      <c r="E19" s="32"/>
    </row>
    <row r="20" spans="1:6" ht="53.25" hidden="1" customHeight="1">
      <c r="A20" s="36" t="s">
        <v>1557</v>
      </c>
      <c r="B20" s="25" t="s">
        <v>1558</v>
      </c>
      <c r="C20" s="18"/>
      <c r="D20" s="37"/>
    </row>
    <row r="21" spans="1:6" ht="51.75" hidden="1" customHeight="1">
      <c r="A21" s="34" t="s">
        <v>1559</v>
      </c>
      <c r="B21" s="27" t="s">
        <v>1560</v>
      </c>
      <c r="C21" s="28"/>
      <c r="D21" s="35"/>
    </row>
    <row r="22" spans="1:6" ht="36.75" hidden="1" customHeight="1">
      <c r="A22" s="24" t="s">
        <v>467</v>
      </c>
      <c r="B22" s="25" t="s">
        <v>1561</v>
      </c>
      <c r="C22" s="18"/>
      <c r="D22" s="30"/>
    </row>
    <row r="23" spans="1:6" ht="37.5" hidden="1" customHeight="1">
      <c r="A23" s="27" t="s">
        <v>468</v>
      </c>
      <c r="B23" s="27" t="s">
        <v>1562</v>
      </c>
      <c r="C23" s="28"/>
      <c r="D23" s="29"/>
    </row>
    <row r="24" spans="1:6" ht="36.75" hidden="1" customHeight="1">
      <c r="A24" s="24" t="s">
        <v>469</v>
      </c>
      <c r="B24" s="25" t="s">
        <v>1563</v>
      </c>
      <c r="C24" s="18"/>
      <c r="D24" s="30"/>
    </row>
    <row r="25" spans="1:6" ht="37.5" hidden="1" customHeight="1">
      <c r="A25" s="27" t="s">
        <v>470</v>
      </c>
      <c r="B25" s="27" t="s">
        <v>1564</v>
      </c>
      <c r="C25" s="28"/>
      <c r="D25" s="29"/>
    </row>
    <row r="26" spans="1:6" ht="57.75" customHeight="1">
      <c r="A26" s="24" t="s">
        <v>48</v>
      </c>
      <c r="B26" s="25" t="s">
        <v>1565</v>
      </c>
      <c r="C26" s="18" t="e">
        <f ca="1">image("https://www.serebii.net/Shiny/HGSS/025.png",4,100,100)</f>
        <v>#NAME?</v>
      </c>
      <c r="D26" s="30" t="s">
        <v>455</v>
      </c>
    </row>
    <row r="27" spans="1:6" ht="69.75" customHeight="1">
      <c r="A27" s="27" t="s">
        <v>55</v>
      </c>
      <c r="B27" s="27" t="s">
        <v>1566</v>
      </c>
      <c r="C27" s="28" t="e">
        <f ca="1">image("https://www.serebii.net/Shiny/HGSS/026.png",4,100,100)</f>
        <v>#NAME?</v>
      </c>
      <c r="D27" s="29" t="s">
        <v>455</v>
      </c>
    </row>
    <row r="28" spans="1:6" ht="86.25" customHeight="1">
      <c r="A28" s="38" t="s">
        <v>1567</v>
      </c>
      <c r="B28" s="39" t="s">
        <v>1568</v>
      </c>
      <c r="C28" s="40" t="e">
        <f ca="1">image("https://img.pokemondb.net/sprites/sun-moon/shiny/raichu-alolan.png",4,100,100)</f>
        <v>#NAME?</v>
      </c>
      <c r="D28" s="41">
        <v>32</v>
      </c>
      <c r="F28" s="42"/>
    </row>
    <row r="29" spans="1:6" ht="84.75" hidden="1" customHeight="1">
      <c r="A29" s="24" t="s">
        <v>482</v>
      </c>
      <c r="B29" s="25" t="s">
        <v>1569</v>
      </c>
      <c r="C29" s="18"/>
      <c r="D29" s="30"/>
    </row>
    <row r="30" spans="1:6" ht="62.25" customHeight="1">
      <c r="A30" s="27" t="s">
        <v>66</v>
      </c>
      <c r="B30" s="27" t="s">
        <v>1568</v>
      </c>
      <c r="C30" s="28" t="e">
        <f ca="1">image("https://www.serebii.net/Shiny/HGSS/028.png",4,100,100)</f>
        <v>#NAME?</v>
      </c>
      <c r="D30" s="29" t="s">
        <v>455</v>
      </c>
    </row>
    <row r="31" spans="1:6" ht="84.75" customHeight="1">
      <c r="A31" s="38" t="s">
        <v>1570</v>
      </c>
      <c r="B31" s="39" t="s">
        <v>1568</v>
      </c>
      <c r="C31" s="40" t="e">
        <f ca="1">image("https://static.pokemonpets.com/images/monsters-images-300-300/18028-Shiny-Alolan-Sandslash.png",4,100,100)</f>
        <v>#NAME?</v>
      </c>
      <c r="D31" s="43" t="s">
        <v>455</v>
      </c>
    </row>
    <row r="32" spans="1:6" ht="52.5" hidden="1" customHeight="1">
      <c r="A32" s="36" t="s">
        <v>488</v>
      </c>
      <c r="B32" s="25" t="s">
        <v>1571</v>
      </c>
      <c r="C32" s="18"/>
      <c r="D32" s="37"/>
    </row>
    <row r="33" spans="1:4" ht="37.5" hidden="1" customHeight="1">
      <c r="A33" s="27" t="s">
        <v>489</v>
      </c>
      <c r="B33" s="27" t="s">
        <v>1572</v>
      </c>
      <c r="C33" s="28"/>
      <c r="D33" s="29"/>
    </row>
    <row r="34" spans="1:4" ht="36.75" hidden="1" customHeight="1">
      <c r="A34" s="24" t="s">
        <v>490</v>
      </c>
      <c r="B34" s="25" t="s">
        <v>1573</v>
      </c>
      <c r="C34" s="18"/>
      <c r="D34" s="30"/>
    </row>
    <row r="35" spans="1:4" ht="51" hidden="1" customHeight="1">
      <c r="A35" s="34" t="s">
        <v>491</v>
      </c>
      <c r="B35" s="27" t="s">
        <v>1574</v>
      </c>
      <c r="C35" s="28"/>
      <c r="D35" s="35"/>
    </row>
    <row r="36" spans="1:4" ht="51" hidden="1" customHeight="1">
      <c r="A36" s="36" t="s">
        <v>492</v>
      </c>
      <c r="B36" s="25" t="s">
        <v>1575</v>
      </c>
      <c r="C36" s="18"/>
      <c r="D36" s="37"/>
    </row>
    <row r="37" spans="1:4" ht="37.5" hidden="1" customHeight="1">
      <c r="A37" s="27" t="s">
        <v>493</v>
      </c>
      <c r="B37" s="27" t="s">
        <v>1576</v>
      </c>
      <c r="C37" s="28"/>
      <c r="D37" s="29"/>
    </row>
    <row r="38" spans="1:4" ht="42" customHeight="1">
      <c r="A38" s="24" t="s">
        <v>74</v>
      </c>
      <c r="B38" s="25" t="s">
        <v>1577</v>
      </c>
      <c r="C38" s="18" t="e">
        <f ca="1">image("https://www.serebii.net/Shiny/HGSS/035.png",4,100,100)</f>
        <v>#NAME?</v>
      </c>
      <c r="D38" s="30" t="s">
        <v>455</v>
      </c>
    </row>
    <row r="39" spans="1:4" ht="37.5" hidden="1" customHeight="1">
      <c r="A39" s="27" t="s">
        <v>495</v>
      </c>
      <c r="B39" s="27" t="s">
        <v>1578</v>
      </c>
      <c r="C39" s="28"/>
      <c r="D39" s="29"/>
    </row>
    <row r="40" spans="1:4" ht="87.75" hidden="1" customHeight="1">
      <c r="A40" s="24" t="s">
        <v>496</v>
      </c>
      <c r="B40" s="25" t="s">
        <v>1579</v>
      </c>
      <c r="C40" s="18"/>
      <c r="D40" s="30"/>
    </row>
    <row r="41" spans="1:4" ht="78" customHeight="1">
      <c r="A41" s="27" t="s">
        <v>76</v>
      </c>
      <c r="B41" s="27" t="s">
        <v>1580</v>
      </c>
      <c r="C41" s="28" t="e">
        <f ca="1">image("https://www.serebii.net/Shiny/HGSS/038.png",4,100,100)</f>
        <v>#NAME?</v>
      </c>
      <c r="D41" s="29" t="s">
        <v>455</v>
      </c>
    </row>
    <row r="42" spans="1:4" ht="36.75" hidden="1" customHeight="1">
      <c r="A42" s="24" t="s">
        <v>499</v>
      </c>
      <c r="B42" s="25" t="s">
        <v>1581</v>
      </c>
      <c r="C42" s="18"/>
      <c r="D42" s="30"/>
    </row>
    <row r="43" spans="1:4" ht="37.5" hidden="1" customHeight="1">
      <c r="A43" s="27" t="s">
        <v>500</v>
      </c>
      <c r="B43" s="27" t="s">
        <v>1582</v>
      </c>
      <c r="C43" s="28"/>
      <c r="D43" s="29"/>
    </row>
    <row r="44" spans="1:4" ht="36.75" hidden="1" customHeight="1">
      <c r="A44" s="24" t="s">
        <v>1583</v>
      </c>
      <c r="B44" s="25" t="s">
        <v>1584</v>
      </c>
      <c r="C44" s="18"/>
      <c r="D44" s="30"/>
    </row>
    <row r="45" spans="1:4" ht="58.5" customHeight="1">
      <c r="A45" s="27" t="s">
        <v>82</v>
      </c>
      <c r="B45" s="27" t="s">
        <v>1585</v>
      </c>
      <c r="C45" s="28" t="e">
        <f ca="1">image("https://www.serebii.net/Shiny/HGSS/042.png",4,100,100)</f>
        <v>#NAME?</v>
      </c>
      <c r="D45" s="29" t="s">
        <v>455</v>
      </c>
    </row>
    <row r="46" spans="1:4" ht="36.75" customHeight="1">
      <c r="A46" s="24" t="s">
        <v>84</v>
      </c>
      <c r="B46" s="25" t="s">
        <v>1586</v>
      </c>
      <c r="C46" s="18" t="e">
        <f ca="1">image("https://www.serebii.net/Shiny/HGSS/043.png",4,100,100)</f>
        <v>#NAME?</v>
      </c>
      <c r="D46" s="30" t="s">
        <v>455</v>
      </c>
    </row>
    <row r="47" spans="1:4" ht="37.5" hidden="1" customHeight="1">
      <c r="A47" s="27" t="s">
        <v>1587</v>
      </c>
      <c r="B47" s="27" t="s">
        <v>1588</v>
      </c>
      <c r="C47" s="28"/>
      <c r="D47" s="29"/>
    </row>
    <row r="48" spans="1:4" ht="36.75" hidden="1" customHeight="1">
      <c r="A48" s="24" t="s">
        <v>1589</v>
      </c>
      <c r="B48" s="25" t="s">
        <v>1590</v>
      </c>
      <c r="C48" s="18"/>
      <c r="D48" s="30"/>
    </row>
    <row r="49" spans="1:19" ht="51" hidden="1" customHeight="1">
      <c r="A49" s="34" t="s">
        <v>501</v>
      </c>
      <c r="B49" s="27" t="s">
        <v>1591</v>
      </c>
      <c r="C49" s="28"/>
      <c r="D49" s="35"/>
    </row>
    <row r="50" spans="1:19" ht="36.75" hidden="1" customHeight="1">
      <c r="A50" s="24" t="s">
        <v>502</v>
      </c>
      <c r="B50" s="25" t="s">
        <v>1592</v>
      </c>
      <c r="C50" s="18"/>
      <c r="D50" s="30"/>
    </row>
    <row r="51" spans="1:19" ht="37.5" hidden="1" customHeight="1">
      <c r="A51" s="27" t="s">
        <v>503</v>
      </c>
      <c r="B51" s="27" t="s">
        <v>1593</v>
      </c>
      <c r="C51" s="28"/>
      <c r="D51" s="29"/>
    </row>
    <row r="52" spans="1:19" ht="36.75" hidden="1" customHeight="1">
      <c r="A52" s="24" t="s">
        <v>504</v>
      </c>
      <c r="B52" s="25" t="s">
        <v>1594</v>
      </c>
      <c r="C52" s="18"/>
      <c r="D52" s="30"/>
    </row>
    <row r="53" spans="1:19" ht="37.5" hidden="1" customHeight="1">
      <c r="A53" s="27" t="s">
        <v>505</v>
      </c>
      <c r="B53" s="27" t="s">
        <v>1595</v>
      </c>
      <c r="C53" s="28"/>
      <c r="D53" s="29"/>
    </row>
    <row r="54" spans="1:19" ht="36.75" hidden="1" customHeight="1">
      <c r="A54" s="24" t="s">
        <v>507</v>
      </c>
      <c r="B54" s="25" t="s">
        <v>1596</v>
      </c>
      <c r="C54" s="18"/>
      <c r="D54" s="30"/>
    </row>
    <row r="55" spans="1:19" ht="60" customHeight="1">
      <c r="A55" s="27" t="s">
        <v>88</v>
      </c>
      <c r="B55" s="27" t="s">
        <v>1597</v>
      </c>
      <c r="C55" s="28" t="e">
        <f ca="1">image("https://www.serebii.net/Shiny/HGSS/052.png",4,100,100)</f>
        <v>#NAME?</v>
      </c>
      <c r="D55" s="29" t="s">
        <v>455</v>
      </c>
    </row>
    <row r="56" spans="1:19" ht="60" customHeight="1">
      <c r="A56" s="39" t="s">
        <v>1598</v>
      </c>
      <c r="B56" s="39" t="s">
        <v>1597</v>
      </c>
      <c r="C56" s="44" t="e">
        <f ca="1">image("https://images-wixmp-ed30a86b8c4ca887773594c2.wixmp.com/f/d44b2ab3-a83b-4430-a479-e22aa8cfaeaa/db3sjh2-34d97b4d-e369-4993-a8c8-cef0ecae355a.png?token=eyJ0eXAiOiJKV1QiLCJhbGciOiJIUzI1NiJ9.eyJzdWIiOiJ1cm46YXBwOjdlMGQxODg5ODIyNjQzNzNhNWYwZDQxNWVhMGQyNmUwIiwi"&amp;"aXNzIjoidXJuOmFwcDo3ZTBkMTg4OTgyMjY0MzczYTVmMGQ0MTVlYTBkMjZlMCIsIm9iaiI6W1t7InBhdGgiOiJcL2ZcL2Q0NGIyYWIzLWE4M2ItNDQzMC1hNDc5LWUyMmFhOGNmYWVhYVwvZGIzc2poMi0zNGQ5N2I0ZC1lMzY5LTQ5OTMtYThjOC1jZWYwZWNhZTM1NWEucG5nIn1dXSwiYXVkIjpbInVybjpzZXJ2aWNlOmZpbGUuZG93bmx"&amp;"vYWQiXX0.DD9XqUkJagBHeCnhfIVOLcoKzAebUaH3z_a_O0RbvHg")</f>
        <v>#NAME?</v>
      </c>
      <c r="D56" s="45" t="s">
        <v>455</v>
      </c>
    </row>
    <row r="57" spans="1:19" ht="36.75" hidden="1" customHeight="1">
      <c r="A57" s="24" t="s">
        <v>511</v>
      </c>
      <c r="B57" s="25" t="s">
        <v>1599</v>
      </c>
      <c r="C57" s="18"/>
      <c r="D57" s="30"/>
    </row>
    <row r="58" spans="1:19" ht="51.75" hidden="1" customHeight="1">
      <c r="A58" s="34" t="s">
        <v>513</v>
      </c>
      <c r="B58" s="27" t="s">
        <v>1600</v>
      </c>
      <c r="C58" s="28"/>
      <c r="D58" s="35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</row>
    <row r="59" spans="1:19" ht="36.75" hidden="1" customHeight="1">
      <c r="A59" s="24" t="s">
        <v>514</v>
      </c>
      <c r="B59" s="25" t="s">
        <v>1601</v>
      </c>
      <c r="C59" s="18"/>
      <c r="D59" s="30"/>
    </row>
    <row r="60" spans="1:19" ht="52.5" customHeight="1">
      <c r="A60" s="27" t="s">
        <v>95</v>
      </c>
      <c r="B60" s="27" t="s">
        <v>1602</v>
      </c>
      <c r="C60" s="28" t="e">
        <f ca="1">image("https://www.serebii.net/Shiny/HGSS/056.png",4,100,100)</f>
        <v>#NAME?</v>
      </c>
      <c r="D60" s="29" t="s">
        <v>455</v>
      </c>
    </row>
    <row r="61" spans="1:19" ht="36.75" hidden="1" customHeight="1">
      <c r="A61" s="24" t="s">
        <v>516</v>
      </c>
      <c r="B61" s="25" t="s">
        <v>1603</v>
      </c>
      <c r="C61" s="18"/>
      <c r="D61" s="30"/>
    </row>
    <row r="62" spans="1:19" ht="37.5" hidden="1" customHeight="1">
      <c r="A62" s="27" t="s">
        <v>517</v>
      </c>
      <c r="B62" s="27" t="s">
        <v>1604</v>
      </c>
      <c r="C62" s="28"/>
      <c r="D62" s="29"/>
    </row>
    <row r="63" spans="1:19" ht="36.75" hidden="1" customHeight="1">
      <c r="A63" s="24" t="s">
        <v>520</v>
      </c>
      <c r="B63" s="25" t="s">
        <v>1605</v>
      </c>
      <c r="C63" s="18"/>
      <c r="D63" s="30"/>
    </row>
    <row r="64" spans="1:19" ht="37.5" hidden="1" customHeight="1">
      <c r="A64" s="27" t="s">
        <v>522</v>
      </c>
      <c r="B64" s="27" t="s">
        <v>1606</v>
      </c>
      <c r="C64" s="28"/>
      <c r="D64" s="29"/>
    </row>
    <row r="65" spans="1:4" ht="36.75" hidden="1" customHeight="1">
      <c r="A65" s="24" t="s">
        <v>523</v>
      </c>
      <c r="B65" s="25" t="s">
        <v>1607</v>
      </c>
      <c r="C65" s="18"/>
      <c r="D65" s="30"/>
    </row>
    <row r="66" spans="1:4" ht="37.5" hidden="1" customHeight="1">
      <c r="A66" s="27" t="s">
        <v>524</v>
      </c>
      <c r="B66" s="27" t="s">
        <v>1608</v>
      </c>
      <c r="C66" s="28"/>
      <c r="D66" s="29"/>
    </row>
    <row r="67" spans="1:4" ht="36.75" hidden="1" customHeight="1">
      <c r="A67" s="24" t="s">
        <v>525</v>
      </c>
      <c r="B67" s="25" t="s">
        <v>1609</v>
      </c>
      <c r="C67" s="18"/>
      <c r="D67" s="30"/>
    </row>
    <row r="68" spans="1:4" ht="37.5" hidden="1" customHeight="1">
      <c r="A68" s="27" t="s">
        <v>1610</v>
      </c>
      <c r="B68" s="27" t="s">
        <v>1611</v>
      </c>
      <c r="C68" s="28"/>
      <c r="D68" s="29"/>
    </row>
    <row r="69" spans="1:4" ht="36.75" hidden="1" customHeight="1">
      <c r="A69" s="24" t="s">
        <v>1612</v>
      </c>
      <c r="B69" s="25" t="s">
        <v>1613</v>
      </c>
      <c r="C69" s="18"/>
      <c r="D69" s="30"/>
    </row>
    <row r="70" spans="1:4" ht="57" customHeight="1">
      <c r="A70" s="27" t="s">
        <v>98</v>
      </c>
      <c r="B70" s="27" t="s">
        <v>1614</v>
      </c>
      <c r="C70" s="28" t="e">
        <f ca="1">image("https://www.serebii.net/Shiny/HGSS/066.png",4,100,100)</f>
        <v>#NAME?</v>
      </c>
      <c r="D70" s="29" t="s">
        <v>455</v>
      </c>
    </row>
    <row r="71" spans="1:4" ht="70.5" customHeight="1">
      <c r="A71" s="24" t="s">
        <v>100</v>
      </c>
      <c r="B71" s="25" t="s">
        <v>1615</v>
      </c>
      <c r="C71" s="18" t="e">
        <f ca="1">image("https://www.serebii.net/Shiny/HGSS/067.png",4,100,100)</f>
        <v>#NAME?</v>
      </c>
      <c r="D71" s="30" t="s">
        <v>455</v>
      </c>
    </row>
    <row r="72" spans="1:4" ht="83.25" customHeight="1">
      <c r="A72" s="27" t="s">
        <v>102</v>
      </c>
      <c r="B72" s="27" t="s">
        <v>1616</v>
      </c>
      <c r="C72" s="47" t="e">
        <f ca="1">image("https://www.serebii.net/Shiny/HGSS/068.png",4,100,100)</f>
        <v>#NAME?</v>
      </c>
      <c r="D72" s="29" t="s">
        <v>455</v>
      </c>
    </row>
    <row r="73" spans="1:4" ht="66.75" customHeight="1">
      <c r="A73" s="24" t="s">
        <v>107</v>
      </c>
      <c r="B73" s="25" t="s">
        <v>1617</v>
      </c>
      <c r="C73" s="18" t="e">
        <f ca="1">image("https://www.serebii.net/Shiny/HGSS/069.png",4,100,100)</f>
        <v>#NAME?</v>
      </c>
      <c r="D73" s="30" t="s">
        <v>455</v>
      </c>
    </row>
    <row r="74" spans="1:4" ht="37.5" hidden="1" customHeight="1">
      <c r="A74" s="27" t="s">
        <v>526</v>
      </c>
      <c r="B74" s="27" t="s">
        <v>1618</v>
      </c>
      <c r="C74" s="28"/>
      <c r="D74" s="29"/>
    </row>
    <row r="75" spans="1:4" ht="77.25" customHeight="1">
      <c r="A75" s="24" t="s">
        <v>109</v>
      </c>
      <c r="B75" s="25" t="s">
        <v>1619</v>
      </c>
      <c r="C75" s="18" t="e">
        <f ca="1">image("https://www.serebii.net/Shiny/HGSS/071.png",4,100,100)</f>
        <v>#NAME?</v>
      </c>
      <c r="D75" s="19">
        <v>3</v>
      </c>
    </row>
    <row r="76" spans="1:4" ht="17.5" hidden="1">
      <c r="A76" s="27" t="s">
        <v>527</v>
      </c>
      <c r="B76" s="27" t="s">
        <v>1620</v>
      </c>
      <c r="C76" s="28"/>
      <c r="D76" s="29"/>
    </row>
    <row r="77" spans="1:4" ht="70.5" customHeight="1">
      <c r="A77" s="24" t="s">
        <v>112</v>
      </c>
      <c r="B77" s="25" t="s">
        <v>1621</v>
      </c>
      <c r="C77" s="18" t="e">
        <f ca="1">image("https://www.serebii.net/Shiny/HGSS/073.png",4,100,100)</f>
        <v>#NAME?</v>
      </c>
      <c r="D77" s="30"/>
    </row>
    <row r="78" spans="1:4" ht="17.5" hidden="1">
      <c r="A78" s="27" t="s">
        <v>528</v>
      </c>
      <c r="B78" s="27" t="s">
        <v>1622</v>
      </c>
      <c r="C78" s="28"/>
      <c r="D78" s="29"/>
    </row>
    <row r="79" spans="1:4" ht="17.5" hidden="1">
      <c r="A79" s="24" t="s">
        <v>530</v>
      </c>
      <c r="B79" s="25" t="s">
        <v>1623</v>
      </c>
      <c r="C79" s="18"/>
      <c r="D79" s="30"/>
    </row>
    <row r="80" spans="1:4" ht="17.5" hidden="1">
      <c r="A80" s="27" t="s">
        <v>532</v>
      </c>
      <c r="B80" s="27" t="s">
        <v>1624</v>
      </c>
      <c r="C80" s="28"/>
      <c r="D80" s="29"/>
    </row>
    <row r="81" spans="1:4" ht="69.75" customHeight="1">
      <c r="A81" s="24" t="s">
        <v>118</v>
      </c>
      <c r="B81" s="25" t="s">
        <v>1625</v>
      </c>
      <c r="C81" s="18" t="e">
        <f ca="1">image("https://www.serebii.net/Shiny/HGSS/077.png",4,100,100)</f>
        <v>#NAME?</v>
      </c>
      <c r="D81" s="30"/>
    </row>
    <row r="82" spans="1:4" ht="78.75" customHeight="1">
      <c r="A82" s="27" t="s">
        <v>121</v>
      </c>
      <c r="B82" s="27" t="s">
        <v>1626</v>
      </c>
      <c r="C82" s="28" t="e">
        <f ca="1">image("https://www.serebii.net/Shiny/HGSS/078.png",4,100,100)</f>
        <v>#NAME?</v>
      </c>
      <c r="D82" s="29"/>
    </row>
    <row r="83" spans="1:4" ht="59.25" customHeight="1">
      <c r="A83" s="24" t="s">
        <v>125</v>
      </c>
      <c r="B83" s="25" t="s">
        <v>1627</v>
      </c>
      <c r="C83" s="18" t="e">
        <f ca="1">image("https://www.serebii.net/Shiny/HGSS/079.png",4,100,100)</f>
        <v>#NAME?</v>
      </c>
      <c r="D83" s="19">
        <v>42</v>
      </c>
    </row>
    <row r="84" spans="1:4" ht="71.25" customHeight="1">
      <c r="A84" s="39" t="s">
        <v>1628</v>
      </c>
      <c r="B84" s="39" t="s">
        <v>1629</v>
      </c>
      <c r="C84" s="44" t="e">
        <f ca="1">image("https://www.serebii.net/Shiny/SWSH/080-g.png")</f>
        <v>#NAME?</v>
      </c>
      <c r="D84" s="48">
        <v>13</v>
      </c>
    </row>
    <row r="85" spans="1:4" ht="36.75" hidden="1" customHeight="1">
      <c r="A85" s="24" t="s">
        <v>539</v>
      </c>
      <c r="B85" s="25" t="s">
        <v>1630</v>
      </c>
      <c r="C85" s="18"/>
      <c r="D85" s="30"/>
    </row>
    <row r="86" spans="1:4" ht="37.5" hidden="1" customHeight="1">
      <c r="A86" s="27" t="s">
        <v>540</v>
      </c>
      <c r="B86" s="27" t="s">
        <v>1631</v>
      </c>
      <c r="C86" s="28"/>
      <c r="D86" s="29"/>
    </row>
    <row r="87" spans="1:4" ht="36.75" hidden="1" customHeight="1">
      <c r="A87" s="24" t="s">
        <v>1632</v>
      </c>
      <c r="B87" s="25" t="s">
        <v>1633</v>
      </c>
      <c r="C87" s="18"/>
      <c r="D87" s="30"/>
    </row>
    <row r="88" spans="1:4" ht="37.5" hidden="1" customHeight="1">
      <c r="A88" s="27" t="s">
        <v>1634</v>
      </c>
      <c r="B88" s="27" t="s">
        <v>1635</v>
      </c>
      <c r="C88" s="28"/>
      <c r="D88" s="29"/>
    </row>
    <row r="89" spans="1:4" ht="36.75" hidden="1" customHeight="1">
      <c r="A89" s="24" t="s">
        <v>1636</v>
      </c>
      <c r="B89" s="25" t="s">
        <v>1637</v>
      </c>
      <c r="C89" s="18"/>
      <c r="D89" s="30"/>
    </row>
    <row r="90" spans="1:4" ht="37.5" hidden="1" customHeight="1">
      <c r="A90" s="27" t="s">
        <v>544</v>
      </c>
      <c r="B90" s="27" t="s">
        <v>1638</v>
      </c>
      <c r="C90" s="28"/>
      <c r="D90" s="29"/>
    </row>
    <row r="91" spans="1:4" ht="36.75" hidden="1" customHeight="1">
      <c r="A91" s="24" t="s">
        <v>545</v>
      </c>
      <c r="B91" s="25" t="s">
        <v>1639</v>
      </c>
      <c r="C91" s="18"/>
      <c r="D91" s="30"/>
    </row>
    <row r="92" spans="1:4" ht="37.5" hidden="1" customHeight="1">
      <c r="A92" s="27" t="s">
        <v>546</v>
      </c>
      <c r="B92" s="27" t="s">
        <v>1640</v>
      </c>
      <c r="C92" s="28"/>
      <c r="D92" s="29"/>
    </row>
    <row r="93" spans="1:4" ht="36.75" hidden="1" customHeight="1">
      <c r="A93" s="24" t="s">
        <v>548</v>
      </c>
      <c r="B93" s="25" t="s">
        <v>1641</v>
      </c>
      <c r="C93" s="18"/>
      <c r="D93" s="30"/>
    </row>
    <row r="94" spans="1:4" ht="37.5" hidden="1" customHeight="1">
      <c r="A94" s="27" t="s">
        <v>550</v>
      </c>
      <c r="B94" s="27" t="s">
        <v>1642</v>
      </c>
      <c r="C94" s="28"/>
      <c r="D94" s="29"/>
    </row>
    <row r="95" spans="1:4" ht="36.75" hidden="1" customHeight="1">
      <c r="A95" s="24" t="s">
        <v>551</v>
      </c>
      <c r="B95" s="25" t="s">
        <v>1643</v>
      </c>
      <c r="C95" s="18"/>
      <c r="D95" s="30"/>
    </row>
    <row r="96" spans="1:4" ht="37.5" customHeight="1">
      <c r="A96" s="27" t="s">
        <v>133</v>
      </c>
      <c r="B96" s="27" t="s">
        <v>1644</v>
      </c>
      <c r="C96" s="28" t="e">
        <f ca="1">image("https://www.serebii.net/Shiny/HGSS/092.png",4,90,90)</f>
        <v>#NAME?</v>
      </c>
      <c r="D96" s="29" t="s">
        <v>455</v>
      </c>
    </row>
    <row r="97" spans="1:4" ht="51.75" customHeight="1">
      <c r="A97" s="36" t="s">
        <v>134</v>
      </c>
      <c r="B97" s="25" t="s">
        <v>1645</v>
      </c>
      <c r="C97" s="18" t="e">
        <f ca="1">image("https://www.serebii.net/Shiny/HGSS/093.png",4,90,90)</f>
        <v>#NAME?</v>
      </c>
      <c r="D97" s="37" t="s">
        <v>455</v>
      </c>
    </row>
    <row r="98" spans="1:4" ht="48" customHeight="1">
      <c r="A98" s="27" t="s">
        <v>135</v>
      </c>
      <c r="B98" s="27" t="s">
        <v>1646</v>
      </c>
      <c r="C98" s="28" t="e">
        <f ca="1">image("https://www.serebii.net/Shiny/HGSS/094.png",4,90,90)</f>
        <v>#NAME?</v>
      </c>
      <c r="D98" s="29" t="s">
        <v>455</v>
      </c>
    </row>
    <row r="99" spans="1:4" ht="68.25" customHeight="1">
      <c r="A99" s="24" t="s">
        <v>138</v>
      </c>
      <c r="B99" s="25" t="s">
        <v>1647</v>
      </c>
      <c r="C99" s="18" t="e">
        <f ca="1">image("https://www.serebii.net/Shiny/HGSS/095.png",4,90,90)</f>
        <v>#NAME?</v>
      </c>
      <c r="D99" s="30" t="s">
        <v>455</v>
      </c>
    </row>
    <row r="100" spans="1:4" ht="37.5" hidden="1" customHeight="1">
      <c r="A100" s="27" t="s">
        <v>553</v>
      </c>
      <c r="B100" s="27" t="s">
        <v>1648</v>
      </c>
      <c r="C100" s="28"/>
      <c r="D100" s="29"/>
    </row>
    <row r="101" spans="1:4" ht="36.75" hidden="1" customHeight="1">
      <c r="A101" s="24" t="s">
        <v>1649</v>
      </c>
      <c r="B101" s="25" t="s">
        <v>1650</v>
      </c>
      <c r="C101" s="18"/>
      <c r="D101" s="30"/>
    </row>
    <row r="102" spans="1:4" ht="37.5" hidden="1" customHeight="1">
      <c r="A102" s="27" t="s">
        <v>554</v>
      </c>
      <c r="B102" s="27" t="s">
        <v>1651</v>
      </c>
      <c r="C102" s="28"/>
      <c r="D102" s="29"/>
    </row>
    <row r="103" spans="1:4" ht="36.75" hidden="1" customHeight="1">
      <c r="A103" s="24" t="s">
        <v>555</v>
      </c>
      <c r="B103" s="25" t="s">
        <v>1652</v>
      </c>
      <c r="C103" s="18"/>
      <c r="D103" s="30"/>
    </row>
    <row r="104" spans="1:4" ht="37.5" customHeight="1">
      <c r="A104" s="27" t="s">
        <v>140</v>
      </c>
      <c r="B104" s="27" t="s">
        <v>1653</v>
      </c>
      <c r="C104" s="28" t="e">
        <f ca="1">image("https://www.serebii.net/Shiny/HGSS/100.png",4,90,90)</f>
        <v>#NAME?</v>
      </c>
      <c r="D104" s="49">
        <v>27</v>
      </c>
    </row>
    <row r="105" spans="1:4" ht="36.75" hidden="1" customHeight="1">
      <c r="A105" s="24" t="s">
        <v>557</v>
      </c>
      <c r="B105" s="25" t="s">
        <v>1654</v>
      </c>
      <c r="C105" s="18"/>
      <c r="D105" s="30"/>
    </row>
    <row r="106" spans="1:4" ht="37.5" customHeight="1">
      <c r="A106" s="27" t="s">
        <v>142</v>
      </c>
      <c r="B106" s="27" t="s">
        <v>1655</v>
      </c>
      <c r="C106" s="28" t="e">
        <f ca="1">image("https://www.serebii.net/Shiny/HGSS/102.png",4,90,90)</f>
        <v>#NAME?</v>
      </c>
      <c r="D106" s="29" t="s">
        <v>455</v>
      </c>
    </row>
    <row r="107" spans="1:4" ht="36.75" hidden="1" customHeight="1">
      <c r="A107" s="24" t="s">
        <v>559</v>
      </c>
      <c r="B107" s="25" t="s">
        <v>1656</v>
      </c>
      <c r="C107" s="18"/>
      <c r="D107" s="30"/>
    </row>
    <row r="108" spans="1:4" ht="37.5" hidden="1" customHeight="1">
      <c r="A108" s="27" t="s">
        <v>562</v>
      </c>
      <c r="B108" s="27" t="s">
        <v>1657</v>
      </c>
      <c r="C108" s="28"/>
      <c r="D108" s="29"/>
    </row>
    <row r="109" spans="1:4" ht="67.5" customHeight="1">
      <c r="A109" s="50" t="s">
        <v>1658</v>
      </c>
      <c r="B109" s="39" t="s">
        <v>1659</v>
      </c>
      <c r="C109" s="44" t="e">
        <f ca="1">image("https://images-wixmp-ed30a86b8c4ca887773594c2.wixmp.com/f/d44b2ab3-a83b-4430-a479-e22aa8cfaeaa/db3sjcn-cddbd721-966b-44f5-9cf5-eed83e194aa8.png?token=eyJ0eXAiOiJKV1QiLCJhbGciOiJIUzI1NiJ9.eyJzdWIiOiJ1cm46YXBwOjdlMGQxODg5ODIyNjQzNzNhNWYwZDQxNWVhMGQyNmUwIiwi"&amp;"aXNzIjoidXJuOmFwcDo3ZTBkMTg4OTgyMjY0MzczYTVmMGQ0MTVlYTBkMjZlMCIsIm9iaiI6W1t7InBhdGgiOiJcL2ZcL2Q0NGIyYWIzLWE4M2ItNDQzMC1hNDc5LWUyMmFhOGNmYWVhYVwvZGIzc2pjbi1jZGRiZDcyMS05NjZiLTQ0ZjUtOWNmNS1lZWQ4M2UxOTRhYTgucG5nIn1dXSwiYXVkIjpbInVybjpzZXJ2aWNlOmZpbGUuZG93bmx"&amp;"vYWQiXX0.H9axQ5j3JqhkoE_zsqEhXsx6qbylGVeIzr2bKLhUQdU")</f>
        <v>#NAME?</v>
      </c>
      <c r="D109" s="45" t="s">
        <v>455</v>
      </c>
    </row>
    <row r="110" spans="1:4" ht="37.5" hidden="1" customHeight="1">
      <c r="A110" s="27" t="s">
        <v>565</v>
      </c>
      <c r="B110" s="27" t="s">
        <v>1660</v>
      </c>
      <c r="C110" s="28"/>
      <c r="D110" s="29"/>
    </row>
    <row r="111" spans="1:4" ht="36.75" hidden="1" customHeight="1">
      <c r="A111" s="24" t="s">
        <v>566</v>
      </c>
      <c r="B111" s="25" t="s">
        <v>1661</v>
      </c>
      <c r="C111" s="18"/>
      <c r="D111" s="30"/>
    </row>
    <row r="112" spans="1:4" ht="37.5" hidden="1" customHeight="1">
      <c r="A112" s="27" t="s">
        <v>567</v>
      </c>
      <c r="B112" s="27" t="s">
        <v>1662</v>
      </c>
      <c r="C112" s="28"/>
      <c r="D112" s="29"/>
    </row>
    <row r="113" spans="1:4" ht="50.25" customHeight="1">
      <c r="A113" s="24" t="s">
        <v>146</v>
      </c>
      <c r="B113" s="25" t="s">
        <v>1663</v>
      </c>
      <c r="C113" s="18" t="e">
        <f ca="1">image("https://www.serebii.net/Shiny/HGSS/109.png",4,90,90)</f>
        <v>#NAME?</v>
      </c>
      <c r="D113" s="30" t="s">
        <v>455</v>
      </c>
    </row>
    <row r="114" spans="1:4" ht="37.5" hidden="1" customHeight="1">
      <c r="A114" s="27" t="s">
        <v>568</v>
      </c>
      <c r="B114" s="27" t="s">
        <v>1664</v>
      </c>
      <c r="C114" s="28"/>
      <c r="D114" s="29"/>
    </row>
    <row r="115" spans="1:4" ht="49.5" hidden="1" customHeight="1">
      <c r="A115" s="24" t="s">
        <v>1665</v>
      </c>
      <c r="B115" s="25" t="s">
        <v>1666</v>
      </c>
      <c r="C115" s="18"/>
      <c r="D115" s="30"/>
    </row>
    <row r="116" spans="1:4" ht="37.5" hidden="1" customHeight="1">
      <c r="A116" s="27" t="s">
        <v>1667</v>
      </c>
      <c r="B116" s="27" t="s">
        <v>1668</v>
      </c>
      <c r="C116" s="28"/>
      <c r="D116" s="29"/>
    </row>
    <row r="117" spans="1:4" ht="36.75" hidden="1" customHeight="1">
      <c r="A117" s="24" t="s">
        <v>570</v>
      </c>
      <c r="B117" s="25" t="s">
        <v>1669</v>
      </c>
      <c r="C117" s="18"/>
      <c r="D117" s="30"/>
    </row>
    <row r="118" spans="1:4" ht="53.25" customHeight="1">
      <c r="A118" s="27" t="s">
        <v>148</v>
      </c>
      <c r="B118" s="27" t="s">
        <v>1670</v>
      </c>
      <c r="C118" s="28" t="e">
        <f ca="1">image("http://www.serebii.net/Shiny/Em/114.png",4,60,60)</f>
        <v>#NAME?</v>
      </c>
      <c r="D118" s="29" t="s">
        <v>455</v>
      </c>
    </row>
    <row r="119" spans="1:4" ht="36.75" hidden="1" customHeight="1">
      <c r="A119" s="24" t="s">
        <v>571</v>
      </c>
      <c r="B119" s="25" t="s">
        <v>1671</v>
      </c>
      <c r="C119" s="18"/>
      <c r="D119" s="30"/>
    </row>
    <row r="120" spans="1:4" ht="37.5" hidden="1" customHeight="1">
      <c r="A120" s="27" t="s">
        <v>572</v>
      </c>
      <c r="B120" s="27" t="s">
        <v>1672</v>
      </c>
      <c r="C120" s="28"/>
      <c r="D120" s="29"/>
    </row>
    <row r="121" spans="1:4" ht="36.75" hidden="1" customHeight="1">
      <c r="A121" s="24" t="s">
        <v>573</v>
      </c>
      <c r="B121" s="25" t="s">
        <v>1673</v>
      </c>
      <c r="C121" s="18"/>
      <c r="D121" s="30"/>
    </row>
    <row r="122" spans="1:4" ht="37.5" hidden="1" customHeight="1">
      <c r="A122" s="27" t="s">
        <v>1674</v>
      </c>
      <c r="B122" s="27" t="s">
        <v>1675</v>
      </c>
      <c r="C122" s="28"/>
      <c r="D122" s="29"/>
    </row>
    <row r="123" spans="1:4" ht="36.75" hidden="1" customHeight="1">
      <c r="A123" s="24" t="s">
        <v>1676</v>
      </c>
      <c r="B123" s="25" t="s">
        <v>1677</v>
      </c>
      <c r="C123" s="18"/>
      <c r="D123" s="30"/>
    </row>
    <row r="124" spans="1:4" ht="37.5" hidden="1" customHeight="1">
      <c r="A124" s="27" t="s">
        <v>574</v>
      </c>
      <c r="B124" s="27" t="s">
        <v>1678</v>
      </c>
      <c r="C124" s="28"/>
      <c r="D124" s="29"/>
    </row>
    <row r="125" spans="1:4" ht="54.75" customHeight="1">
      <c r="A125" s="24" t="s">
        <v>150</v>
      </c>
      <c r="B125" s="25" t="s">
        <v>1679</v>
      </c>
      <c r="C125" s="22" t="e">
        <f ca="1">image("https://www.serebii.net/Shiny/HGSS/121.png",4,100,100)</f>
        <v>#NAME?</v>
      </c>
      <c r="D125" s="30" t="s">
        <v>455</v>
      </c>
    </row>
    <row r="126" spans="1:4" ht="37.5" hidden="1" customHeight="1">
      <c r="A126" s="27" t="s">
        <v>575</v>
      </c>
      <c r="B126" s="27" t="s">
        <v>1680</v>
      </c>
      <c r="C126" s="28"/>
      <c r="D126" s="29"/>
    </row>
    <row r="127" spans="1:4" ht="36.75" hidden="1" customHeight="1">
      <c r="A127" s="24" t="s">
        <v>1681</v>
      </c>
      <c r="B127" s="25" t="s">
        <v>1682</v>
      </c>
      <c r="C127" s="18"/>
      <c r="D127" s="30"/>
    </row>
    <row r="128" spans="1:4" ht="37.5" hidden="1" customHeight="1">
      <c r="A128" s="27" t="s">
        <v>577</v>
      </c>
      <c r="B128" s="27" t="s">
        <v>1683</v>
      </c>
      <c r="C128" s="28"/>
      <c r="D128" s="29"/>
    </row>
    <row r="129" spans="1:4" ht="54" customHeight="1">
      <c r="A129" s="24" t="s">
        <v>154</v>
      </c>
      <c r="B129" s="25" t="s">
        <v>1684</v>
      </c>
      <c r="C129" s="18" t="e">
        <f ca="1">image("http://www.serebii.net/Shiny/Em/125.png",4,60,60)</f>
        <v>#NAME?</v>
      </c>
      <c r="D129" s="30" t="s">
        <v>455</v>
      </c>
    </row>
    <row r="130" spans="1:4" ht="60.75" customHeight="1">
      <c r="A130" s="27" t="s">
        <v>155</v>
      </c>
      <c r="B130" s="27" t="s">
        <v>1685</v>
      </c>
      <c r="C130" s="28" t="e">
        <f ca="1">image("http://www.serebii.net/Shiny/Em/126.png",4,60,60)</f>
        <v>#NAME?</v>
      </c>
      <c r="D130" s="29" t="s">
        <v>455</v>
      </c>
    </row>
    <row r="131" spans="1:4" ht="36.75" hidden="1" customHeight="1">
      <c r="A131" s="24" t="s">
        <v>578</v>
      </c>
      <c r="B131" s="25" t="s">
        <v>1686</v>
      </c>
      <c r="C131" s="18"/>
      <c r="D131" s="30"/>
    </row>
    <row r="132" spans="1:4" ht="55.5" customHeight="1">
      <c r="A132" s="27" t="s">
        <v>157</v>
      </c>
      <c r="B132" s="27" t="s">
        <v>1687</v>
      </c>
      <c r="C132" s="28" t="e">
        <f ca="1">image("http://www.serebii.net/Shiny/Em/128.png",4,60,60)</f>
        <v>#NAME?</v>
      </c>
      <c r="D132" s="49">
        <v>5</v>
      </c>
    </row>
    <row r="133" spans="1:4" ht="51.75" customHeight="1">
      <c r="A133" s="36" t="s">
        <v>159</v>
      </c>
      <c r="B133" s="25" t="s">
        <v>1688</v>
      </c>
      <c r="C133" s="18" t="e">
        <f ca="1">image("http://www.serebii.net/Shiny/Em/129.png",4,60,60)</f>
        <v>#NAME?</v>
      </c>
      <c r="D133" s="37" t="s">
        <v>455</v>
      </c>
    </row>
    <row r="134" spans="1:4" ht="85.5" customHeight="1">
      <c r="A134" s="27" t="s">
        <v>161</v>
      </c>
      <c r="B134" s="27" t="s">
        <v>1689</v>
      </c>
      <c r="C134" s="28" t="e">
        <f ca="1">image("https://www.serebii.net/Shiny/HGSS/130.png",4,90,90)</f>
        <v>#NAME?</v>
      </c>
      <c r="D134" s="29">
        <v>1</v>
      </c>
    </row>
    <row r="135" spans="1:4" ht="36.75" hidden="1" customHeight="1">
      <c r="A135" s="24" t="s">
        <v>582</v>
      </c>
      <c r="B135" s="25" t="s">
        <v>1690</v>
      </c>
      <c r="C135" s="18"/>
      <c r="D135" s="30"/>
    </row>
    <row r="136" spans="1:4" ht="52.5" hidden="1" customHeight="1">
      <c r="A136" s="34" t="s">
        <v>583</v>
      </c>
      <c r="B136" s="27" t="s">
        <v>1691</v>
      </c>
      <c r="C136" s="28"/>
      <c r="D136" s="51"/>
    </row>
    <row r="137" spans="1:4" ht="61.5" customHeight="1">
      <c r="A137" s="24" t="s">
        <v>165</v>
      </c>
      <c r="B137" s="25" t="s">
        <v>1692</v>
      </c>
      <c r="C137" s="18" t="e">
        <f ca="1">image("https://www.serebii.net/Shiny/HGSS/133.png",4,100,100)</f>
        <v>#NAME?</v>
      </c>
      <c r="D137" s="30" t="s">
        <v>455</v>
      </c>
    </row>
    <row r="138" spans="1:4" ht="37.5" hidden="1" customHeight="1">
      <c r="A138" s="27" t="s">
        <v>584</v>
      </c>
      <c r="B138" s="27" t="s">
        <v>1693</v>
      </c>
      <c r="C138" s="28"/>
      <c r="D138" s="29"/>
    </row>
    <row r="139" spans="1:4" ht="36.75" hidden="1" customHeight="1">
      <c r="A139" s="24" t="s">
        <v>585</v>
      </c>
      <c r="B139" s="25" t="s">
        <v>1694</v>
      </c>
      <c r="C139" s="18"/>
      <c r="D139" s="30"/>
    </row>
    <row r="140" spans="1:4" ht="37.5" hidden="1" customHeight="1">
      <c r="A140" s="27" t="s">
        <v>586</v>
      </c>
      <c r="B140" s="27" t="s">
        <v>1695</v>
      </c>
      <c r="C140" s="28"/>
      <c r="D140" s="29"/>
    </row>
    <row r="141" spans="1:4" ht="36.75" customHeight="1">
      <c r="A141" s="24" t="s">
        <v>167</v>
      </c>
      <c r="B141" s="25" t="s">
        <v>1696</v>
      </c>
      <c r="C141" s="18" t="e">
        <f ca="1">image("https://www.serebii.net/Shiny/HGSS/137.png",4,90,90)</f>
        <v>#NAME?</v>
      </c>
      <c r="D141" s="30" t="s">
        <v>455</v>
      </c>
    </row>
    <row r="142" spans="1:4" ht="37.5" hidden="1" customHeight="1">
      <c r="A142" s="27" t="s">
        <v>587</v>
      </c>
      <c r="B142" s="27" t="s">
        <v>1697</v>
      </c>
      <c r="C142" s="28"/>
      <c r="D142" s="29"/>
    </row>
    <row r="143" spans="1:4" ht="36.75" hidden="1" customHeight="1">
      <c r="A143" s="24" t="s">
        <v>588</v>
      </c>
      <c r="B143" s="25" t="s">
        <v>1698</v>
      </c>
      <c r="C143" s="18"/>
      <c r="D143" s="30"/>
    </row>
    <row r="144" spans="1:4" ht="37.5" hidden="1" customHeight="1">
      <c r="A144" s="27" t="s">
        <v>589</v>
      </c>
      <c r="B144" s="27" t="s">
        <v>1699</v>
      </c>
      <c r="C144" s="28"/>
      <c r="D144" s="29"/>
    </row>
    <row r="145" spans="1:4" ht="36.75" hidden="1" customHeight="1">
      <c r="A145" s="24" t="s">
        <v>590</v>
      </c>
      <c r="B145" s="25" t="s">
        <v>1700</v>
      </c>
      <c r="C145" s="18"/>
      <c r="D145" s="30"/>
    </row>
    <row r="146" spans="1:4" ht="37.5" hidden="1" customHeight="1">
      <c r="A146" s="27" t="s">
        <v>591</v>
      </c>
      <c r="B146" s="27" t="s">
        <v>1701</v>
      </c>
      <c r="C146" s="28"/>
      <c r="D146" s="29"/>
    </row>
    <row r="147" spans="1:4" ht="53.25" hidden="1" customHeight="1">
      <c r="A147" s="24" t="s">
        <v>592</v>
      </c>
      <c r="B147" s="25" t="s">
        <v>1702</v>
      </c>
      <c r="C147" s="18"/>
      <c r="D147" s="30"/>
    </row>
    <row r="148" spans="1:4" ht="63" customHeight="1">
      <c r="A148" s="34" t="s">
        <v>169</v>
      </c>
      <c r="B148" s="27" t="s">
        <v>1703</v>
      </c>
      <c r="C148" s="28" t="e">
        <f ca="1">image("https://www.serebii.net/Shiny/HGSS/144.png",4,80,80)</f>
        <v>#NAME?</v>
      </c>
      <c r="D148" s="49">
        <v>5</v>
      </c>
    </row>
    <row r="149" spans="1:4" ht="36.75" hidden="1" customHeight="1">
      <c r="A149" s="24" t="s">
        <v>594</v>
      </c>
      <c r="B149" s="25" t="s">
        <v>1704</v>
      </c>
      <c r="C149" s="18"/>
      <c r="D149" s="30"/>
    </row>
    <row r="150" spans="1:4" ht="37.5" hidden="1" customHeight="1">
      <c r="A150" s="27" t="s">
        <v>596</v>
      </c>
      <c r="B150" s="27" t="s">
        <v>1705</v>
      </c>
      <c r="C150" s="28"/>
      <c r="D150" s="29"/>
    </row>
    <row r="151" spans="1:4" ht="36.75" hidden="1" customHeight="1">
      <c r="A151" s="24" t="s">
        <v>598</v>
      </c>
      <c r="B151" s="25" t="s">
        <v>1706</v>
      </c>
      <c r="C151" s="18"/>
      <c r="D151" s="30"/>
    </row>
    <row r="152" spans="1:4" ht="37.5" hidden="1" customHeight="1">
      <c r="A152" s="27" t="s">
        <v>599</v>
      </c>
      <c r="B152" s="27" t="s">
        <v>1707</v>
      </c>
      <c r="C152" s="28"/>
      <c r="D152" s="29"/>
    </row>
    <row r="153" spans="1:4" ht="36.75" hidden="1" customHeight="1">
      <c r="A153" s="24" t="s">
        <v>600</v>
      </c>
      <c r="B153" s="25" t="s">
        <v>1708</v>
      </c>
      <c r="C153" s="18"/>
      <c r="D153" s="30"/>
    </row>
    <row r="154" spans="1:4" ht="37.5" hidden="1" customHeight="1">
      <c r="A154" s="27" t="s">
        <v>601</v>
      </c>
      <c r="B154" s="27" t="s">
        <v>1709</v>
      </c>
      <c r="C154" s="28"/>
      <c r="D154" s="29"/>
    </row>
    <row r="155" spans="1:4" ht="46.5" hidden="1" customHeight="1">
      <c r="A155" s="36" t="s">
        <v>602</v>
      </c>
      <c r="B155" s="25" t="s">
        <v>1710</v>
      </c>
      <c r="C155" s="18"/>
      <c r="D155" s="52"/>
    </row>
    <row r="156" spans="1:4" ht="61.5" customHeight="1">
      <c r="A156" s="27" t="s">
        <v>172</v>
      </c>
      <c r="B156" s="27" t="s">
        <v>1711</v>
      </c>
      <c r="C156" s="28" t="e">
        <f ca="1">image("https://www.serebii.net/Shiny/HGSS/152.png",4,80,80)</f>
        <v>#NAME?</v>
      </c>
      <c r="D156" s="49">
        <v>3206</v>
      </c>
    </row>
    <row r="157" spans="1:4" ht="36.75" hidden="1" customHeight="1">
      <c r="A157" s="24" t="s">
        <v>605</v>
      </c>
      <c r="B157" s="25" t="s">
        <v>1712</v>
      </c>
      <c r="C157" s="18"/>
      <c r="D157" s="30"/>
    </row>
    <row r="158" spans="1:4" ht="65.25" customHeight="1">
      <c r="A158" s="27" t="s">
        <v>177</v>
      </c>
      <c r="B158" s="27" t="s">
        <v>1713</v>
      </c>
      <c r="C158" s="28" t="e">
        <f ca="1">image("https://www.serebii.net/Shiny/HGSS/152.png",4,80,80)</f>
        <v>#NAME?</v>
      </c>
      <c r="D158" s="49">
        <v>4186</v>
      </c>
    </row>
    <row r="159" spans="1:4" ht="42" customHeight="1">
      <c r="A159" s="36" t="s">
        <v>180</v>
      </c>
      <c r="B159" s="25" t="s">
        <v>1714</v>
      </c>
      <c r="C159" s="18" t="e">
        <f ca="1">image("https://www.serebii.net/Shiny/HGSS/155.png",4,100,100)</f>
        <v>#NAME?</v>
      </c>
      <c r="D159" s="19">
        <v>788</v>
      </c>
    </row>
    <row r="160" spans="1:4" ht="53.25" customHeight="1">
      <c r="A160" s="27" t="s">
        <v>182</v>
      </c>
      <c r="B160" s="27" t="s">
        <v>1715</v>
      </c>
      <c r="C160" s="28" t="e">
        <f ca="1">image("https://www.serebii.net/Shiny/HGSS/156.png",4,100,100)</f>
        <v>#NAME?</v>
      </c>
      <c r="D160" s="29" t="s">
        <v>455</v>
      </c>
    </row>
    <row r="161" spans="1:5" ht="59.25" customHeight="1">
      <c r="A161" s="36" t="s">
        <v>184</v>
      </c>
      <c r="B161" s="25" t="s">
        <v>1716</v>
      </c>
      <c r="C161" s="18" t="e">
        <f ca="1">image("https://www.serebii.net/Shiny/HGSS/155.png",4,100,100)</f>
        <v>#NAME?</v>
      </c>
      <c r="D161" s="19">
        <v>1367</v>
      </c>
    </row>
    <row r="162" spans="1:5" ht="37.5" customHeight="1">
      <c r="A162" s="27" t="s">
        <v>186</v>
      </c>
      <c r="B162" s="27" t="s">
        <v>1717</v>
      </c>
      <c r="C162" s="28" t="e">
        <f ca="1">image("https://www.serebii.net/Shiny/HGSS/158.png",4,80,80)</f>
        <v>#NAME?</v>
      </c>
      <c r="D162" s="29" t="s">
        <v>455</v>
      </c>
    </row>
    <row r="163" spans="1:5" ht="52.5" hidden="1" customHeight="1">
      <c r="A163" s="36" t="s">
        <v>607</v>
      </c>
      <c r="B163" s="25" t="s">
        <v>1718</v>
      </c>
      <c r="C163" s="18"/>
      <c r="D163" s="37"/>
    </row>
    <row r="164" spans="1:5" ht="57.75" customHeight="1">
      <c r="A164" s="34" t="s">
        <v>188</v>
      </c>
      <c r="B164" s="27" t="s">
        <v>1719</v>
      </c>
      <c r="C164" s="28" t="e">
        <f ca="1">image("https://www.serebii.net/Shiny/HGSS/160.png",4,80,80)</f>
        <v>#NAME?</v>
      </c>
      <c r="D164" s="35"/>
      <c r="E164" s="46" t="s">
        <v>190</v>
      </c>
    </row>
    <row r="165" spans="1:5" ht="90" customHeight="1">
      <c r="A165" s="24" t="s">
        <v>191</v>
      </c>
      <c r="B165" s="25" t="s">
        <v>1720</v>
      </c>
      <c r="C165" s="18" t="e">
        <f ca="1">image("https://www.serebii.net/Shiny/HGSS/161.png",4,100,100)</f>
        <v>#NAME?</v>
      </c>
      <c r="D165" s="30" t="s">
        <v>455</v>
      </c>
    </row>
    <row r="166" spans="1:5" ht="17.5" hidden="1">
      <c r="A166" s="27" t="s">
        <v>608</v>
      </c>
      <c r="B166" s="27" t="s">
        <v>1721</v>
      </c>
      <c r="C166" s="28"/>
      <c r="D166" s="29"/>
    </row>
    <row r="167" spans="1:5" ht="72" customHeight="1">
      <c r="A167" s="24" t="s">
        <v>192</v>
      </c>
      <c r="B167" s="25" t="s">
        <v>1722</v>
      </c>
      <c r="C167" s="22" t="e">
        <f ca="1">image("https://www.serebii.net/Shiny/HGSS/163.png",4,100,100)</f>
        <v>#NAME?</v>
      </c>
      <c r="D167" s="19">
        <v>202</v>
      </c>
      <c r="E167" s="33"/>
    </row>
    <row r="168" spans="1:5" ht="37.5" hidden="1" customHeight="1">
      <c r="A168" s="27" t="s">
        <v>609</v>
      </c>
      <c r="B168" s="27" t="s">
        <v>1723</v>
      </c>
      <c r="C168" s="28"/>
      <c r="D168" s="49"/>
    </row>
    <row r="169" spans="1:5" ht="36.75" hidden="1" customHeight="1">
      <c r="A169" s="24" t="s">
        <v>1724</v>
      </c>
      <c r="B169" s="25" t="s">
        <v>1725</v>
      </c>
      <c r="C169" s="18"/>
      <c r="D169" s="30"/>
    </row>
    <row r="170" spans="1:5" ht="37.5" hidden="1" customHeight="1">
      <c r="A170" s="27" t="s">
        <v>1726</v>
      </c>
      <c r="B170" s="27" t="s">
        <v>1727</v>
      </c>
      <c r="C170" s="28"/>
      <c r="D170" s="49"/>
    </row>
    <row r="171" spans="1:5" ht="36.75" hidden="1" customHeight="1">
      <c r="A171" s="24" t="s">
        <v>610</v>
      </c>
      <c r="B171" s="25" t="s">
        <v>1728</v>
      </c>
      <c r="C171" s="18"/>
      <c r="D171" s="30"/>
    </row>
    <row r="172" spans="1:5" ht="37.5" hidden="1" customHeight="1">
      <c r="A172" s="27" t="s">
        <v>611</v>
      </c>
      <c r="B172" s="27" t="s">
        <v>1729</v>
      </c>
      <c r="C172" s="28"/>
      <c r="D172" s="49"/>
    </row>
    <row r="173" spans="1:5" ht="36.75" hidden="1" customHeight="1">
      <c r="A173" s="24" t="s">
        <v>612</v>
      </c>
      <c r="B173" s="25" t="s">
        <v>1730</v>
      </c>
      <c r="C173" s="18"/>
      <c r="D173" s="30"/>
    </row>
    <row r="174" spans="1:5" ht="37.5" hidden="1" customHeight="1">
      <c r="A174" s="27" t="s">
        <v>613</v>
      </c>
      <c r="B174" s="27" t="s">
        <v>1731</v>
      </c>
      <c r="C174" s="28"/>
      <c r="D174" s="29"/>
    </row>
    <row r="175" spans="1:5" ht="36.75" hidden="1" customHeight="1">
      <c r="A175" s="24" t="s">
        <v>614</v>
      </c>
      <c r="B175" s="25" t="s">
        <v>1732</v>
      </c>
      <c r="C175" s="18"/>
      <c r="D175" s="30"/>
    </row>
    <row r="176" spans="1:5" ht="37.5" hidden="1" customHeight="1">
      <c r="A176" s="27" t="s">
        <v>615</v>
      </c>
      <c r="B176" s="27" t="s">
        <v>1733</v>
      </c>
      <c r="C176" s="28"/>
      <c r="D176" s="29"/>
    </row>
    <row r="177" spans="1:4" ht="36.75" hidden="1" customHeight="1">
      <c r="A177" s="24" t="s">
        <v>616</v>
      </c>
      <c r="B177" s="25" t="s">
        <v>1734</v>
      </c>
      <c r="C177" s="18"/>
      <c r="D177" s="30"/>
    </row>
    <row r="178" spans="1:4" ht="37.5" hidden="1" customHeight="1">
      <c r="A178" s="27" t="s">
        <v>617</v>
      </c>
      <c r="B178" s="27" t="s">
        <v>1735</v>
      </c>
      <c r="C178" s="28"/>
      <c r="D178" s="29"/>
    </row>
    <row r="179" spans="1:4" ht="36.75" customHeight="1">
      <c r="A179" s="24" t="s">
        <v>195</v>
      </c>
      <c r="B179" s="25" t="s">
        <v>1736</v>
      </c>
      <c r="C179" s="18" t="e">
        <f ca="1">image("https://www.serebii.net/Shiny/HGSS/175.png",4,100,100)</f>
        <v>#NAME?</v>
      </c>
      <c r="D179" s="30" t="s">
        <v>455</v>
      </c>
    </row>
    <row r="180" spans="1:4" ht="37.5" hidden="1" customHeight="1">
      <c r="A180" s="27" t="s">
        <v>618</v>
      </c>
      <c r="B180" s="27" t="s">
        <v>1737</v>
      </c>
      <c r="C180" s="28"/>
      <c r="D180" s="29"/>
    </row>
    <row r="181" spans="1:4" ht="36.75" hidden="1" customHeight="1">
      <c r="A181" s="24" t="s">
        <v>619</v>
      </c>
      <c r="B181" s="25" t="s">
        <v>1738</v>
      </c>
      <c r="C181" s="18"/>
      <c r="D181" s="30"/>
    </row>
    <row r="182" spans="1:4" ht="37.5" hidden="1" customHeight="1">
      <c r="A182" s="27" t="s">
        <v>1739</v>
      </c>
      <c r="B182" s="27" t="s">
        <v>1740</v>
      </c>
      <c r="C182" s="28"/>
      <c r="D182" s="29"/>
    </row>
    <row r="183" spans="1:4" ht="36.75" hidden="1" customHeight="1">
      <c r="A183" s="24" t="s">
        <v>620</v>
      </c>
      <c r="B183" s="25" t="s">
        <v>1741</v>
      </c>
      <c r="C183" s="18"/>
      <c r="D183" s="30"/>
    </row>
    <row r="184" spans="1:4" ht="37.5" hidden="1" customHeight="1">
      <c r="A184" s="27" t="s">
        <v>621</v>
      </c>
      <c r="B184" s="27" t="s">
        <v>1742</v>
      </c>
      <c r="C184" s="28"/>
      <c r="D184" s="29"/>
    </row>
    <row r="185" spans="1:4" ht="66" customHeight="1">
      <c r="A185" s="36" t="s">
        <v>199</v>
      </c>
      <c r="B185" s="25" t="s">
        <v>1743</v>
      </c>
      <c r="C185" s="18" t="e">
        <f ca="1">image("https://www.serebii.net/Shiny/HGSS/181.png",4,100,100)</f>
        <v>#NAME?</v>
      </c>
      <c r="D185" s="52" t="s">
        <v>455</v>
      </c>
    </row>
    <row r="186" spans="1:4" ht="37.5" customHeight="1">
      <c r="A186" s="27" t="s">
        <v>204</v>
      </c>
      <c r="B186" s="27" t="s">
        <v>1744</v>
      </c>
      <c r="C186" s="28" t="e">
        <f ca="1">image("https://www.serebii.net/Shiny/HGSS/182.png",4,100,100)</f>
        <v>#NAME?</v>
      </c>
      <c r="D186" s="29" t="s">
        <v>455</v>
      </c>
    </row>
    <row r="187" spans="1:4" ht="36.75" customHeight="1">
      <c r="A187" s="24" t="s">
        <v>207</v>
      </c>
      <c r="B187" s="25" t="s">
        <v>1745</v>
      </c>
      <c r="C187" s="18" t="e">
        <f ca="1">image("https://www.serebii.net/Shiny/HGSS/183.png",4,100,100)</f>
        <v>#NAME?</v>
      </c>
      <c r="D187" s="30" t="s">
        <v>455</v>
      </c>
    </row>
    <row r="188" spans="1:4" ht="37.5" hidden="1" customHeight="1">
      <c r="A188" s="27" t="s">
        <v>622</v>
      </c>
      <c r="B188" s="27" t="s">
        <v>1746</v>
      </c>
      <c r="C188" s="28"/>
      <c r="D188" s="29"/>
    </row>
    <row r="189" spans="1:4" ht="64.5" customHeight="1">
      <c r="A189" s="24" t="s">
        <v>209</v>
      </c>
      <c r="B189" s="25" t="s">
        <v>1747</v>
      </c>
      <c r="C189" s="18" t="e">
        <f ca="1">image("https://www.serebii.net/Shiny/HGSS/185.png",4,100,100)</f>
        <v>#NAME?</v>
      </c>
      <c r="D189" s="30" t="s">
        <v>455</v>
      </c>
    </row>
    <row r="190" spans="1:4" ht="37.5" hidden="1" customHeight="1">
      <c r="A190" s="27" t="s">
        <v>1748</v>
      </c>
      <c r="B190" s="27" t="s">
        <v>1749</v>
      </c>
      <c r="C190" s="28"/>
      <c r="D190" s="29"/>
    </row>
    <row r="191" spans="1:4" ht="36.75" hidden="1" customHeight="1">
      <c r="A191" s="24" t="s">
        <v>623</v>
      </c>
      <c r="B191" s="25" t="s">
        <v>1750</v>
      </c>
      <c r="C191" s="18"/>
      <c r="D191" s="30"/>
    </row>
    <row r="192" spans="1:4" ht="37.5" hidden="1" customHeight="1">
      <c r="A192" s="27" t="s">
        <v>624</v>
      </c>
      <c r="B192" s="27" t="s">
        <v>1751</v>
      </c>
      <c r="C192" s="28"/>
      <c r="D192" s="29"/>
    </row>
    <row r="193" spans="1:4" ht="36.75" hidden="1" customHeight="1">
      <c r="A193" s="24" t="s">
        <v>625</v>
      </c>
      <c r="B193" s="25" t="s">
        <v>1752</v>
      </c>
      <c r="C193" s="18"/>
      <c r="D193" s="30"/>
    </row>
    <row r="194" spans="1:4" ht="37.5" hidden="1" customHeight="1">
      <c r="A194" s="27" t="s">
        <v>1753</v>
      </c>
      <c r="B194" s="27" t="s">
        <v>1754</v>
      </c>
      <c r="C194" s="28"/>
      <c r="D194" s="29"/>
    </row>
    <row r="195" spans="1:4" ht="36.75" hidden="1" customHeight="1">
      <c r="A195" s="24" t="s">
        <v>626</v>
      </c>
      <c r="B195" s="25" t="s">
        <v>1755</v>
      </c>
      <c r="C195" s="18"/>
      <c r="D195" s="30"/>
    </row>
    <row r="196" spans="1:4" ht="51.75" customHeight="1">
      <c r="A196" s="27" t="s">
        <v>211</v>
      </c>
      <c r="B196" s="27" t="s">
        <v>1756</v>
      </c>
      <c r="C196" s="28" t="e">
        <f ca="1">image("https://www.serebii.net/Shiny/HGSS/192.png",4,100,100)</f>
        <v>#NAME?</v>
      </c>
      <c r="D196" s="29" t="s">
        <v>455</v>
      </c>
    </row>
    <row r="197" spans="1:4" ht="54.75" customHeight="1">
      <c r="A197" s="24" t="s">
        <v>214</v>
      </c>
      <c r="B197" s="25" t="s">
        <v>1757</v>
      </c>
      <c r="C197" s="18" t="e">
        <f ca="1">image("https://www.serebii.net/Shiny/HGSS/193.png",4,100,100)</f>
        <v>#NAME?</v>
      </c>
      <c r="D197" s="30" t="s">
        <v>455</v>
      </c>
    </row>
    <row r="198" spans="1:4" ht="37.5" customHeight="1">
      <c r="A198" s="27" t="s">
        <v>216</v>
      </c>
      <c r="B198" s="27" t="s">
        <v>1758</v>
      </c>
      <c r="C198" s="28" t="e">
        <f ca="1">image("https://www.serebii.net/Shiny/HGSS/194.png",4,100,100)</f>
        <v>#NAME?</v>
      </c>
      <c r="D198" s="29" t="s">
        <v>455</v>
      </c>
    </row>
    <row r="199" spans="1:4" ht="36.75" hidden="1" customHeight="1">
      <c r="A199" s="24" t="s">
        <v>1759</v>
      </c>
      <c r="B199" s="25" t="s">
        <v>1760</v>
      </c>
      <c r="C199" s="18"/>
      <c r="D199" s="30"/>
    </row>
    <row r="200" spans="1:4" ht="37.5" hidden="1" customHeight="1">
      <c r="A200" s="27" t="s">
        <v>628</v>
      </c>
      <c r="B200" s="27" t="s">
        <v>1761</v>
      </c>
      <c r="C200" s="28"/>
      <c r="D200" s="29"/>
    </row>
    <row r="201" spans="1:4" ht="51.75" hidden="1" customHeight="1">
      <c r="A201" s="36" t="s">
        <v>629</v>
      </c>
      <c r="B201" s="25" t="s">
        <v>1762</v>
      </c>
      <c r="C201" s="18"/>
      <c r="D201" s="53"/>
    </row>
    <row r="202" spans="1:4" ht="37.5" hidden="1" customHeight="1">
      <c r="A202" s="27" t="s">
        <v>1763</v>
      </c>
      <c r="B202" s="27" t="s">
        <v>1764</v>
      </c>
      <c r="C202" s="28"/>
      <c r="D202" s="29"/>
    </row>
    <row r="203" spans="1:4" ht="36.75" hidden="1" customHeight="1">
      <c r="A203" s="24" t="s">
        <v>630</v>
      </c>
      <c r="B203" s="25" t="s">
        <v>1765</v>
      </c>
      <c r="C203" s="18"/>
      <c r="D203" s="30"/>
    </row>
    <row r="204" spans="1:4" ht="37.5" hidden="1" customHeight="1">
      <c r="A204" s="27" t="s">
        <v>632</v>
      </c>
      <c r="B204" s="27" t="s">
        <v>1766</v>
      </c>
      <c r="C204" s="28"/>
      <c r="D204" s="29"/>
    </row>
    <row r="205" spans="1:4" ht="62.25" customHeight="1">
      <c r="A205" s="36" t="s">
        <v>218</v>
      </c>
      <c r="B205" s="25" t="s">
        <v>1767</v>
      </c>
      <c r="C205" s="18" t="e">
        <f ca="1">image("https://www.g2g.media/img/pkmn_icons/pokemon_icon_201_17_shiny.png?is-pending-load=1",4,200,200)</f>
        <v>#NAME?</v>
      </c>
      <c r="D205" s="37" t="s">
        <v>455</v>
      </c>
    </row>
    <row r="206" spans="1:4" ht="60" customHeight="1">
      <c r="A206" s="27" t="s">
        <v>220</v>
      </c>
      <c r="B206" s="27" t="s">
        <v>1768</v>
      </c>
      <c r="C206" s="28" t="e">
        <f ca="1">image("https://www.serebii.net/Shiny/HGSS/202.png",4,100,100)</f>
        <v>#NAME?</v>
      </c>
      <c r="D206" s="49">
        <v>11</v>
      </c>
    </row>
    <row r="207" spans="1:4" ht="36.75" hidden="1" customHeight="1">
      <c r="A207" s="24" t="s">
        <v>1769</v>
      </c>
      <c r="B207" s="25" t="s">
        <v>1770</v>
      </c>
      <c r="C207" s="18"/>
      <c r="D207" s="30"/>
    </row>
    <row r="208" spans="1:4" ht="37.5" hidden="1" customHeight="1">
      <c r="A208" s="27" t="s">
        <v>660</v>
      </c>
      <c r="B208" s="27" t="s">
        <v>1771</v>
      </c>
      <c r="C208" s="28"/>
      <c r="D208" s="29"/>
    </row>
    <row r="209" spans="1:4" ht="36.75" hidden="1" customHeight="1">
      <c r="A209" s="24" t="s">
        <v>661</v>
      </c>
      <c r="B209" s="25" t="s">
        <v>1772</v>
      </c>
      <c r="C209" s="18"/>
      <c r="D209" s="30"/>
    </row>
    <row r="210" spans="1:4" ht="37.5" hidden="1" customHeight="1">
      <c r="A210" s="27" t="s">
        <v>662</v>
      </c>
      <c r="B210" s="27" t="s">
        <v>1773</v>
      </c>
      <c r="C210" s="28"/>
      <c r="D210" s="29"/>
    </row>
    <row r="211" spans="1:4" ht="66.75" customHeight="1">
      <c r="A211" s="24" t="s">
        <v>223</v>
      </c>
      <c r="B211" s="25" t="s">
        <v>1774</v>
      </c>
      <c r="C211" s="18" t="e">
        <f ca="1">image("https://www.serebii.net/Shiny/HGSS/207.png",4,100,100)</f>
        <v>#NAME?</v>
      </c>
      <c r="D211" s="30" t="s">
        <v>455</v>
      </c>
    </row>
    <row r="212" spans="1:4" ht="37.5" hidden="1" customHeight="1">
      <c r="A212" s="27" t="s">
        <v>1775</v>
      </c>
      <c r="B212" s="27" t="s">
        <v>1776</v>
      </c>
      <c r="C212" s="28"/>
      <c r="D212" s="29"/>
    </row>
    <row r="213" spans="1:4" ht="36.75" hidden="1" customHeight="1">
      <c r="A213" s="24" t="s">
        <v>663</v>
      </c>
      <c r="B213" s="25" t="s">
        <v>1777</v>
      </c>
      <c r="C213" s="18"/>
      <c r="D213" s="30"/>
    </row>
    <row r="214" spans="1:4" ht="37.5" hidden="1" customHeight="1">
      <c r="A214" s="27" t="s">
        <v>664</v>
      </c>
      <c r="B214" s="27" t="s">
        <v>1778</v>
      </c>
      <c r="C214" s="28"/>
      <c r="D214" s="29"/>
    </row>
    <row r="215" spans="1:4" ht="36.75" customHeight="1">
      <c r="A215" s="24" t="s">
        <v>225</v>
      </c>
      <c r="B215" s="25" t="s">
        <v>1779</v>
      </c>
      <c r="C215" s="18" t="e">
        <f ca="1">image("https://www.serebii.net/Shiny/HGSS/211.png",4,100,100)</f>
        <v>#NAME?</v>
      </c>
      <c r="D215" s="30" t="s">
        <v>455</v>
      </c>
    </row>
    <row r="216" spans="1:4" ht="37.5" hidden="1" customHeight="1">
      <c r="A216" s="27" t="s">
        <v>1780</v>
      </c>
      <c r="B216" s="27" t="s">
        <v>1781</v>
      </c>
      <c r="C216" s="28"/>
      <c r="D216" s="29"/>
    </row>
    <row r="217" spans="1:4" ht="36.75" hidden="1" customHeight="1">
      <c r="A217" s="24" t="s">
        <v>666</v>
      </c>
      <c r="B217" s="25" t="s">
        <v>1782</v>
      </c>
      <c r="C217" s="18"/>
      <c r="D217" s="30"/>
    </row>
    <row r="218" spans="1:4" ht="37.5" hidden="1" customHeight="1">
      <c r="A218" s="27" t="s">
        <v>1783</v>
      </c>
      <c r="B218" s="27" t="s">
        <v>1784</v>
      </c>
      <c r="C218" s="28"/>
      <c r="D218" s="29"/>
    </row>
    <row r="219" spans="1:4" ht="51" customHeight="1">
      <c r="A219" s="24" t="s">
        <v>227</v>
      </c>
      <c r="B219" s="25" t="s">
        <v>1785</v>
      </c>
      <c r="C219" s="18" t="e">
        <f ca="1">image("https://www.serebii.net/Shiny/HGSS/215.png",4,100,100)</f>
        <v>#NAME?</v>
      </c>
      <c r="D219" s="30" t="s">
        <v>455</v>
      </c>
    </row>
    <row r="220" spans="1:4" ht="71.25" customHeight="1">
      <c r="A220" s="39" t="s">
        <v>1786</v>
      </c>
      <c r="B220" s="39" t="s">
        <v>1785</v>
      </c>
      <c r="C220" s="44" t="e">
        <f ca="1">image("https://www.serebii.net/Shiny/SWSH/215-h.png",4,100,100)</f>
        <v>#NAME?</v>
      </c>
      <c r="D220" s="48"/>
    </row>
    <row r="221" spans="1:4" ht="37.5" customHeight="1">
      <c r="A221" s="27" t="s">
        <v>233</v>
      </c>
      <c r="B221" s="27" t="s">
        <v>1787</v>
      </c>
      <c r="C221" s="28" t="e">
        <f ca="1">image("https://www.serebii.net/Shiny/HGSS/216.png",4,100,100)</f>
        <v>#NAME?</v>
      </c>
      <c r="D221" s="49">
        <v>446</v>
      </c>
    </row>
    <row r="222" spans="1:4" ht="36.75" hidden="1" customHeight="1">
      <c r="A222" s="24" t="s">
        <v>1788</v>
      </c>
      <c r="B222" s="25" t="s">
        <v>1789</v>
      </c>
      <c r="C222" s="18"/>
      <c r="D222" s="30"/>
    </row>
    <row r="223" spans="1:4" ht="37.5" hidden="1" customHeight="1">
      <c r="A223" s="27" t="s">
        <v>667</v>
      </c>
      <c r="B223" s="27" t="s">
        <v>1790</v>
      </c>
      <c r="C223" s="28"/>
      <c r="D223" s="29"/>
    </row>
    <row r="224" spans="1:4" ht="36.75" hidden="1" customHeight="1">
      <c r="A224" s="24" t="s">
        <v>668</v>
      </c>
      <c r="B224" s="25" t="s">
        <v>1791</v>
      </c>
      <c r="C224" s="18"/>
      <c r="D224" s="30"/>
    </row>
    <row r="225" spans="1:4" ht="37.5" customHeight="1">
      <c r="A225" s="27" t="s">
        <v>235</v>
      </c>
      <c r="B225" s="27" t="s">
        <v>1792</v>
      </c>
      <c r="C225" s="28" t="e">
        <f ca="1">image("https://www.serebii.net/Shiny/HGSS/220.png",4,100,100)</f>
        <v>#NAME?</v>
      </c>
      <c r="D225" s="29"/>
    </row>
    <row r="226" spans="1:4" ht="36.75" hidden="1" customHeight="1">
      <c r="A226" s="24" t="s">
        <v>1793</v>
      </c>
      <c r="B226" s="25" t="s">
        <v>1794</v>
      </c>
      <c r="C226" s="18"/>
      <c r="D226" s="30"/>
    </row>
    <row r="227" spans="1:4" ht="37.5" hidden="1" customHeight="1">
      <c r="A227" s="27" t="s">
        <v>669</v>
      </c>
      <c r="B227" s="27" t="s">
        <v>1795</v>
      </c>
      <c r="C227" s="28"/>
      <c r="D227" s="29"/>
    </row>
    <row r="228" spans="1:4" ht="36.75" hidden="1" customHeight="1">
      <c r="A228" s="24" t="s">
        <v>671</v>
      </c>
      <c r="B228" s="25" t="s">
        <v>1796</v>
      </c>
      <c r="C228" s="18"/>
      <c r="D228" s="30"/>
    </row>
    <row r="229" spans="1:4" ht="37.5" hidden="1" customHeight="1">
      <c r="A229" s="27" t="s">
        <v>1797</v>
      </c>
      <c r="B229" s="27" t="s">
        <v>1798</v>
      </c>
      <c r="C229" s="28"/>
      <c r="D229" s="29"/>
    </row>
    <row r="230" spans="1:4" ht="36.75" hidden="1" customHeight="1">
      <c r="A230" s="24" t="s">
        <v>672</v>
      </c>
      <c r="B230" s="25" t="s">
        <v>1799</v>
      </c>
      <c r="C230" s="18"/>
      <c r="D230" s="30"/>
    </row>
    <row r="231" spans="1:4" ht="37.5" hidden="1" customHeight="1">
      <c r="A231" s="27" t="s">
        <v>673</v>
      </c>
      <c r="B231" s="27" t="s">
        <v>1800</v>
      </c>
      <c r="C231" s="28"/>
      <c r="D231" s="29"/>
    </row>
    <row r="232" spans="1:4" ht="69.75" customHeight="1">
      <c r="A232" s="24" t="s">
        <v>237</v>
      </c>
      <c r="B232" s="25" t="s">
        <v>1801</v>
      </c>
      <c r="C232" s="18" t="e">
        <f ca="1">image("https://www.serebii.net/Shiny/HGSS/227.png",4,100,100)</f>
        <v>#NAME?</v>
      </c>
      <c r="D232" s="30" t="s">
        <v>455</v>
      </c>
    </row>
    <row r="233" spans="1:4" ht="55.5" customHeight="1">
      <c r="A233" s="27" t="s">
        <v>239</v>
      </c>
      <c r="B233" s="27" t="s">
        <v>1802</v>
      </c>
      <c r="C233" s="28" t="e">
        <f ca="1">image("https://www.serebii.net/Shiny/HGSS/228.png",4,100,100)</f>
        <v>#NAME?</v>
      </c>
      <c r="D233" s="29" t="s">
        <v>455</v>
      </c>
    </row>
    <row r="234" spans="1:4" ht="36.75" hidden="1" customHeight="1">
      <c r="A234" s="24" t="s">
        <v>1803</v>
      </c>
      <c r="B234" s="25" t="s">
        <v>1804</v>
      </c>
      <c r="C234" s="18"/>
      <c r="D234" s="30"/>
    </row>
    <row r="235" spans="1:4" ht="37.5" hidden="1" customHeight="1">
      <c r="A235" s="27" t="s">
        <v>674</v>
      </c>
      <c r="B235" s="27" t="s">
        <v>1805</v>
      </c>
      <c r="C235" s="28"/>
      <c r="D235" s="29"/>
    </row>
    <row r="236" spans="1:4" ht="36.75" hidden="1" customHeight="1">
      <c r="A236" s="24" t="s">
        <v>675</v>
      </c>
      <c r="B236" s="25" t="s">
        <v>1806</v>
      </c>
      <c r="C236" s="18"/>
      <c r="D236" s="30"/>
    </row>
    <row r="237" spans="1:4" ht="37.5" hidden="1" customHeight="1">
      <c r="A237" s="27" t="s">
        <v>1807</v>
      </c>
      <c r="B237" s="27" t="s">
        <v>1808</v>
      </c>
      <c r="C237" s="28"/>
      <c r="D237" s="29"/>
    </row>
    <row r="238" spans="1:4" ht="36.75" customHeight="1">
      <c r="A238" s="24" t="s">
        <v>240</v>
      </c>
      <c r="B238" s="25" t="s">
        <v>1809</v>
      </c>
      <c r="C238" s="18" t="e">
        <f ca="1">image("https://www.serebii.net/Shiny/HGSS/233.png",4,100,100)</f>
        <v>#NAME?</v>
      </c>
      <c r="D238" s="30" t="s">
        <v>455</v>
      </c>
    </row>
    <row r="239" spans="1:4" ht="37.5" hidden="1" customHeight="1">
      <c r="A239" s="27" t="s">
        <v>676</v>
      </c>
      <c r="B239" s="27" t="s">
        <v>1810</v>
      </c>
      <c r="C239" s="28"/>
      <c r="D239" s="29"/>
    </row>
    <row r="240" spans="1:4" ht="57.75" customHeight="1">
      <c r="A240" s="24" t="s">
        <v>242</v>
      </c>
      <c r="B240" s="25" t="s">
        <v>1811</v>
      </c>
      <c r="C240" s="18" t="e">
        <f ca="1">image("https://www.serebii.net/Shiny/HGSS/235.png",4,100,100)</f>
        <v>#NAME?</v>
      </c>
      <c r="D240" s="19">
        <v>22</v>
      </c>
    </row>
    <row r="241" spans="1:5" ht="37.5" hidden="1" customHeight="1">
      <c r="A241" s="27" t="s">
        <v>677</v>
      </c>
      <c r="B241" s="27" t="s">
        <v>1812</v>
      </c>
      <c r="C241" s="28"/>
      <c r="D241" s="29"/>
    </row>
    <row r="242" spans="1:5" ht="36.75" hidden="1" customHeight="1">
      <c r="A242" s="24" t="s">
        <v>678</v>
      </c>
      <c r="B242" s="25" t="s">
        <v>1813</v>
      </c>
      <c r="C242" s="18"/>
      <c r="D242" s="30"/>
    </row>
    <row r="243" spans="1:5" ht="37.5" hidden="1" customHeight="1">
      <c r="A243" s="27" t="s">
        <v>679</v>
      </c>
      <c r="B243" s="27" t="s">
        <v>1814</v>
      </c>
      <c r="C243" s="28"/>
      <c r="D243" s="29"/>
    </row>
    <row r="244" spans="1:5" ht="36.75" hidden="1" customHeight="1">
      <c r="A244" s="24" t="s">
        <v>680</v>
      </c>
      <c r="B244" s="25" t="s">
        <v>1815</v>
      </c>
      <c r="C244" s="18"/>
      <c r="D244" s="30"/>
    </row>
    <row r="245" spans="1:5" ht="37.5" hidden="1" customHeight="1">
      <c r="A245" s="27" t="s">
        <v>681</v>
      </c>
      <c r="B245" s="27" t="s">
        <v>1816</v>
      </c>
      <c r="C245" s="28"/>
      <c r="D245" s="29"/>
    </row>
    <row r="246" spans="1:5" ht="36.75" hidden="1" customHeight="1">
      <c r="A246" s="24" t="s">
        <v>682</v>
      </c>
      <c r="B246" s="25" t="s">
        <v>1817</v>
      </c>
      <c r="C246" s="18"/>
      <c r="D246" s="30"/>
    </row>
    <row r="247" spans="1:5" ht="37.5" hidden="1" customHeight="1">
      <c r="A247" s="27" t="s">
        <v>683</v>
      </c>
      <c r="B247" s="27" t="s">
        <v>1818</v>
      </c>
      <c r="C247" s="28"/>
      <c r="D247" s="29"/>
    </row>
    <row r="248" spans="1:5" ht="64.5" customHeight="1">
      <c r="A248" s="36" t="s">
        <v>245</v>
      </c>
      <c r="B248" s="25" t="s">
        <v>1819</v>
      </c>
      <c r="C248" s="18" t="e">
        <f ca="1">image("https://www.serebii.net/Shiny/HGSS/243.png",4,100,100)</f>
        <v>#NAME?</v>
      </c>
      <c r="D248" s="19">
        <v>1032</v>
      </c>
    </row>
    <row r="249" spans="1:5" ht="37.5" hidden="1" customHeight="1">
      <c r="A249" s="27" t="s">
        <v>684</v>
      </c>
      <c r="B249" s="27" t="s">
        <v>1820</v>
      </c>
      <c r="C249" s="28"/>
      <c r="D249" s="29"/>
    </row>
    <row r="250" spans="1:5" ht="75" customHeight="1">
      <c r="A250" s="36" t="s">
        <v>248</v>
      </c>
      <c r="B250" s="25" t="s">
        <v>1821</v>
      </c>
      <c r="C250" s="18" t="e">
        <f ca="1">image("https://www.serebii.net/Shiny/HGSS/245.png",4,100,100)</f>
        <v>#NAME?</v>
      </c>
      <c r="D250" s="37" t="s">
        <v>455</v>
      </c>
    </row>
    <row r="251" spans="1:5" ht="51.75" customHeight="1">
      <c r="A251" s="27" t="s">
        <v>249</v>
      </c>
      <c r="B251" s="27" t="s">
        <v>1822</v>
      </c>
      <c r="C251" s="28" t="e">
        <f ca="1">image("https://www.serebii.net/Shiny/HGSS/246.png",4,100,100)</f>
        <v>#NAME?</v>
      </c>
      <c r="D251" s="29" t="s">
        <v>455</v>
      </c>
    </row>
    <row r="252" spans="1:5" ht="36.75" hidden="1" customHeight="1">
      <c r="A252" s="24" t="s">
        <v>685</v>
      </c>
      <c r="B252" s="25" t="s">
        <v>1823</v>
      </c>
      <c r="C252" s="18"/>
      <c r="D252" s="30"/>
    </row>
    <row r="253" spans="1:5" ht="37.5" hidden="1" customHeight="1">
      <c r="A253" s="27" t="s">
        <v>686</v>
      </c>
      <c r="B253" s="27" t="s">
        <v>1824</v>
      </c>
      <c r="C253" s="28"/>
      <c r="D253" s="29"/>
    </row>
    <row r="254" spans="1:5" ht="87.75" customHeight="1">
      <c r="A254" s="24" t="s">
        <v>251</v>
      </c>
      <c r="B254" s="25" t="s">
        <v>1825</v>
      </c>
      <c r="C254" s="18" t="e">
        <f ca="1">image("https://www.serebii.net/Shiny/HGSS/249.png",4,100,100)</f>
        <v>#NAME?</v>
      </c>
      <c r="D254" s="19">
        <v>121</v>
      </c>
      <c r="E254" s="46"/>
    </row>
    <row r="255" spans="1:5" ht="101.25" customHeight="1">
      <c r="A255" s="27" t="s">
        <v>255</v>
      </c>
      <c r="B255" s="27" t="s">
        <v>1826</v>
      </c>
      <c r="C255" s="28" t="e">
        <f ca="1">image("https://www.serebii.net/Shiny/HGSS/250.png",4,100,100)</f>
        <v>#NAME?</v>
      </c>
      <c r="D255" s="29" t="s">
        <v>455</v>
      </c>
    </row>
    <row r="256" spans="1:5" ht="65.25" customHeight="1">
      <c r="A256" s="24" t="s">
        <v>259</v>
      </c>
      <c r="B256" s="25" t="s">
        <v>1827</v>
      </c>
      <c r="C256" s="18" t="e">
        <f ca="1">image("https://www.serebii.net/Shiny/HGSS/251.png",4,100,100)</f>
        <v>#NAME?</v>
      </c>
      <c r="D256" s="30" t="s">
        <v>455</v>
      </c>
      <c r="E256" s="46"/>
    </row>
    <row r="257" spans="1:5" ht="37.5" hidden="1" customHeight="1">
      <c r="A257" s="27" t="s">
        <v>689</v>
      </c>
      <c r="B257" s="27" t="s">
        <v>1828</v>
      </c>
      <c r="C257" s="28"/>
      <c r="D257" s="29"/>
    </row>
    <row r="258" spans="1:5" ht="60.75" customHeight="1">
      <c r="A258" s="24" t="s">
        <v>262</v>
      </c>
      <c r="B258" s="25" t="s">
        <v>1829</v>
      </c>
      <c r="C258" s="18" t="e">
        <f ca="1">image("https://www.serebii.net/Shiny/HGSS/253.png",4,100,100)</f>
        <v>#NAME?</v>
      </c>
      <c r="D258" s="30" t="s">
        <v>455</v>
      </c>
      <c r="E258" s="46"/>
    </row>
    <row r="259" spans="1:5" ht="37.5" hidden="1" customHeight="1">
      <c r="A259" s="27" t="s">
        <v>690</v>
      </c>
      <c r="B259" s="27" t="s">
        <v>1830</v>
      </c>
      <c r="C259" s="28"/>
      <c r="D259" s="29"/>
    </row>
    <row r="260" spans="1:5" ht="36.75" hidden="1" customHeight="1">
      <c r="A260" s="24" t="s">
        <v>1831</v>
      </c>
      <c r="B260" s="25" t="s">
        <v>1832</v>
      </c>
      <c r="C260" s="18"/>
      <c r="D260" s="30"/>
    </row>
    <row r="261" spans="1:5" ht="37.5" hidden="1" customHeight="1">
      <c r="A261" s="27" t="s">
        <v>1833</v>
      </c>
      <c r="B261" s="27" t="s">
        <v>1834</v>
      </c>
      <c r="C261" s="28"/>
      <c r="D261" s="29"/>
    </row>
    <row r="262" spans="1:5" ht="69.75" customHeight="1">
      <c r="A262" s="24" t="s">
        <v>265</v>
      </c>
      <c r="B262" s="25" t="s">
        <v>1835</v>
      </c>
      <c r="C262" s="18" t="e">
        <f ca="1">image("https://www.serebii.net/Shiny/HGSS/257.png",4,100,100)</f>
        <v>#NAME?</v>
      </c>
      <c r="D262" s="30" t="s">
        <v>455</v>
      </c>
    </row>
    <row r="263" spans="1:5" ht="37.5" hidden="1" customHeight="1">
      <c r="A263" s="27" t="s">
        <v>691</v>
      </c>
      <c r="B263" s="27" t="s">
        <v>1836</v>
      </c>
      <c r="C263" s="28"/>
      <c r="D263" s="29"/>
    </row>
    <row r="264" spans="1:5" ht="36.75" hidden="1" customHeight="1">
      <c r="A264" s="24" t="s">
        <v>692</v>
      </c>
      <c r="B264" s="25" t="s">
        <v>1837</v>
      </c>
      <c r="C264" s="18"/>
      <c r="D264" s="30"/>
    </row>
    <row r="265" spans="1:5" ht="37.5" hidden="1" customHeight="1">
      <c r="A265" s="27" t="s">
        <v>693</v>
      </c>
      <c r="B265" s="27" t="s">
        <v>1838</v>
      </c>
      <c r="C265" s="28"/>
      <c r="D265" s="29"/>
    </row>
    <row r="266" spans="1:5" ht="36.75" hidden="1" customHeight="1">
      <c r="A266" s="24" t="s">
        <v>694</v>
      </c>
      <c r="B266" s="25" t="s">
        <v>1839</v>
      </c>
      <c r="C266" s="18"/>
      <c r="D266" s="30"/>
    </row>
    <row r="267" spans="1:5" ht="37.5" hidden="1" customHeight="1">
      <c r="A267" s="27" t="s">
        <v>695</v>
      </c>
      <c r="B267" s="27" t="s">
        <v>1840</v>
      </c>
      <c r="C267" s="28"/>
      <c r="D267" s="29"/>
    </row>
    <row r="268" spans="1:5" ht="51.75" customHeight="1">
      <c r="A268" s="24" t="s">
        <v>268</v>
      </c>
      <c r="B268" s="25" t="s">
        <v>1841</v>
      </c>
      <c r="C268" s="18" t="e">
        <f ca="1">image("https://www.serebii.net/Shiny/HGSS/263.png",4,100,100)</f>
        <v>#NAME?</v>
      </c>
      <c r="D268" s="30" t="s">
        <v>455</v>
      </c>
    </row>
    <row r="269" spans="1:5" ht="37.5" hidden="1" customHeight="1">
      <c r="A269" s="27" t="s">
        <v>697</v>
      </c>
      <c r="B269" s="27" t="s">
        <v>1842</v>
      </c>
      <c r="C269" s="28"/>
      <c r="D269" s="29"/>
    </row>
    <row r="270" spans="1:5" ht="36.75" hidden="1" customHeight="1">
      <c r="A270" s="24" t="s">
        <v>270</v>
      </c>
      <c r="B270" s="25" t="s">
        <v>1843</v>
      </c>
      <c r="C270" s="18"/>
      <c r="D270" s="30"/>
    </row>
    <row r="271" spans="1:5" ht="37.5" hidden="1" customHeight="1">
      <c r="A271" s="27" t="s">
        <v>699</v>
      </c>
      <c r="B271" s="27" t="s">
        <v>1844</v>
      </c>
      <c r="C271" s="28"/>
      <c r="D271" s="29"/>
    </row>
    <row r="272" spans="1:5" ht="36.75" hidden="1" customHeight="1">
      <c r="A272" s="24" t="s">
        <v>1845</v>
      </c>
      <c r="B272" s="25" t="s">
        <v>1846</v>
      </c>
      <c r="C272" s="18"/>
      <c r="D272" s="30"/>
    </row>
    <row r="273" spans="1:4" ht="55.5" customHeight="1">
      <c r="A273" s="27" t="s">
        <v>273</v>
      </c>
      <c r="B273" s="27" t="s">
        <v>1847</v>
      </c>
      <c r="C273" s="28" t="e">
        <f ca="1">image("https://www.serebii.net/Shiny/HGSS/268.png",4,100,100)</f>
        <v>#NAME?</v>
      </c>
      <c r="D273" s="29"/>
    </row>
    <row r="274" spans="1:4" ht="36.75" hidden="1" customHeight="1">
      <c r="A274" s="24" t="s">
        <v>1848</v>
      </c>
      <c r="B274" s="25" t="s">
        <v>1849</v>
      </c>
      <c r="C274" s="18"/>
      <c r="D274" s="30"/>
    </row>
    <row r="275" spans="1:4" ht="37.5" hidden="1" customHeight="1">
      <c r="A275" s="27" t="s">
        <v>700</v>
      </c>
      <c r="B275" s="27" t="s">
        <v>1850</v>
      </c>
      <c r="C275" s="28"/>
      <c r="D275" s="29"/>
    </row>
    <row r="276" spans="1:4" ht="36.75" hidden="1" customHeight="1">
      <c r="A276" s="24" t="s">
        <v>701</v>
      </c>
      <c r="B276" s="25" t="s">
        <v>1851</v>
      </c>
      <c r="C276" s="18"/>
      <c r="D276" s="30"/>
    </row>
    <row r="277" spans="1:4" ht="37.5" hidden="1" customHeight="1">
      <c r="A277" s="27" t="s">
        <v>1852</v>
      </c>
      <c r="B277" s="27" t="s">
        <v>1853</v>
      </c>
      <c r="C277" s="28"/>
      <c r="D277" s="29"/>
    </row>
    <row r="278" spans="1:4" ht="47.25" customHeight="1">
      <c r="A278" s="24" t="s">
        <v>274</v>
      </c>
      <c r="B278" s="25" t="s">
        <v>1854</v>
      </c>
      <c r="C278" s="18" t="e">
        <f ca="1">image("https://www.serebii.net/Shiny/HGSS/273.png",4,100,100)</f>
        <v>#NAME?</v>
      </c>
      <c r="D278" s="30" t="s">
        <v>455</v>
      </c>
    </row>
    <row r="279" spans="1:4" ht="63.75" customHeight="1">
      <c r="A279" s="27" t="s">
        <v>275</v>
      </c>
      <c r="B279" s="27" t="s">
        <v>1855</v>
      </c>
      <c r="C279" s="28" t="e">
        <f ca="1">image("https://www.serebii.net/Shiny/HGSS/274.png",4,100,100)</f>
        <v>#NAME?</v>
      </c>
      <c r="D279" s="29" t="s">
        <v>455</v>
      </c>
    </row>
    <row r="280" spans="1:4" ht="57" customHeight="1">
      <c r="A280" s="24" t="s">
        <v>276</v>
      </c>
      <c r="B280" s="25" t="s">
        <v>1856</v>
      </c>
      <c r="C280" s="18" t="e">
        <f ca="1">image("https://www.serebii.net/Shiny/HGSS/275.png",4,100,100)</f>
        <v>#NAME?</v>
      </c>
      <c r="D280" s="30" t="s">
        <v>455</v>
      </c>
    </row>
    <row r="281" spans="1:4" ht="37.5" hidden="1" customHeight="1">
      <c r="A281" s="27" t="s">
        <v>702</v>
      </c>
      <c r="B281" s="27" t="s">
        <v>1857</v>
      </c>
      <c r="C281" s="28"/>
      <c r="D281" s="29"/>
    </row>
    <row r="282" spans="1:4" ht="36.75" hidden="1" customHeight="1">
      <c r="A282" s="24" t="s">
        <v>703</v>
      </c>
      <c r="B282" s="25" t="s">
        <v>1858</v>
      </c>
      <c r="C282" s="18"/>
      <c r="D282" s="30"/>
    </row>
    <row r="283" spans="1:4" ht="37.5" hidden="1" customHeight="1">
      <c r="A283" s="27" t="s">
        <v>704</v>
      </c>
      <c r="B283" s="27" t="s">
        <v>1859</v>
      </c>
      <c r="C283" s="28"/>
      <c r="D283" s="29"/>
    </row>
    <row r="284" spans="1:4" ht="69.75" customHeight="1">
      <c r="A284" s="24" t="s">
        <v>277</v>
      </c>
      <c r="B284" s="25" t="s">
        <v>1860</v>
      </c>
      <c r="C284" s="18" t="e">
        <f ca="1">image("https://www.serebii.net/Shiny/HGSS/279.png",4,100,100)</f>
        <v>#NAME?</v>
      </c>
      <c r="D284" s="30" t="s">
        <v>455</v>
      </c>
    </row>
    <row r="285" spans="1:4" ht="37.5" hidden="1" customHeight="1">
      <c r="A285" s="27" t="s">
        <v>705</v>
      </c>
      <c r="B285" s="27" t="s">
        <v>1861</v>
      </c>
      <c r="C285" s="28"/>
      <c r="D285" s="29"/>
    </row>
    <row r="286" spans="1:4" ht="36.75" hidden="1" customHeight="1">
      <c r="A286" s="24" t="s">
        <v>706</v>
      </c>
      <c r="B286" s="25" t="s">
        <v>1862</v>
      </c>
      <c r="C286" s="18"/>
      <c r="D286" s="30"/>
    </row>
    <row r="287" spans="1:4" ht="37.5" hidden="1" customHeight="1">
      <c r="A287" s="27" t="s">
        <v>707</v>
      </c>
      <c r="B287" s="27" t="s">
        <v>1863</v>
      </c>
      <c r="C287" s="28"/>
      <c r="D287" s="29"/>
    </row>
    <row r="288" spans="1:4" ht="36.75" hidden="1" customHeight="1">
      <c r="A288" s="24" t="s">
        <v>708</v>
      </c>
      <c r="B288" s="25" t="s">
        <v>1864</v>
      </c>
      <c r="C288" s="18"/>
      <c r="D288" s="30"/>
    </row>
    <row r="289" spans="1:4" ht="37.5" hidden="1" customHeight="1">
      <c r="A289" s="27" t="s">
        <v>709</v>
      </c>
      <c r="B289" s="27" t="s">
        <v>1865</v>
      </c>
      <c r="C289" s="28"/>
      <c r="D289" s="29"/>
    </row>
    <row r="290" spans="1:4" ht="36.75" hidden="1" customHeight="1">
      <c r="A290" s="24" t="s">
        <v>710</v>
      </c>
      <c r="B290" s="25" t="s">
        <v>1866</v>
      </c>
      <c r="C290" s="18"/>
      <c r="D290" s="30"/>
    </row>
    <row r="291" spans="1:4" ht="37.5" hidden="1" customHeight="1">
      <c r="A291" s="27" t="s">
        <v>711</v>
      </c>
      <c r="B291" s="27" t="s">
        <v>1867</v>
      </c>
      <c r="C291" s="28"/>
      <c r="D291" s="29"/>
    </row>
    <row r="292" spans="1:4" ht="36.75" hidden="1" customHeight="1">
      <c r="A292" s="24" t="s">
        <v>712</v>
      </c>
      <c r="B292" s="25" t="s">
        <v>1868</v>
      </c>
      <c r="C292" s="18"/>
      <c r="D292" s="30"/>
    </row>
    <row r="293" spans="1:4" ht="37.5" hidden="1" customHeight="1">
      <c r="A293" s="27" t="s">
        <v>713</v>
      </c>
      <c r="B293" s="27" t="s">
        <v>1869</v>
      </c>
      <c r="C293" s="28"/>
      <c r="D293" s="29"/>
    </row>
    <row r="294" spans="1:4" ht="36.75" hidden="1" customHeight="1">
      <c r="A294" s="24" t="s">
        <v>714</v>
      </c>
      <c r="B294" s="25" t="s">
        <v>1870</v>
      </c>
      <c r="C294" s="18"/>
      <c r="D294" s="30"/>
    </row>
    <row r="295" spans="1:4" ht="37.5" hidden="1" customHeight="1">
      <c r="A295" s="27" t="s">
        <v>715</v>
      </c>
      <c r="B295" s="27" t="s">
        <v>1871</v>
      </c>
      <c r="C295" s="28"/>
      <c r="D295" s="29"/>
    </row>
    <row r="296" spans="1:4" ht="36.75" hidden="1" customHeight="1">
      <c r="A296" s="24" t="s">
        <v>716</v>
      </c>
      <c r="B296" s="25" t="s">
        <v>1872</v>
      </c>
      <c r="C296" s="18"/>
      <c r="D296" s="30"/>
    </row>
    <row r="297" spans="1:4" ht="37.5" hidden="1" customHeight="1">
      <c r="A297" s="27" t="s">
        <v>717</v>
      </c>
      <c r="B297" s="27" t="s">
        <v>1873</v>
      </c>
      <c r="C297" s="28"/>
      <c r="D297" s="29"/>
    </row>
    <row r="298" spans="1:4" ht="36.75" hidden="1" customHeight="1">
      <c r="A298" s="24" t="s">
        <v>718</v>
      </c>
      <c r="B298" s="25" t="s">
        <v>1874</v>
      </c>
      <c r="C298" s="18"/>
      <c r="D298" s="30"/>
    </row>
    <row r="299" spans="1:4" ht="63" customHeight="1">
      <c r="A299" s="27" t="s">
        <v>281</v>
      </c>
      <c r="B299" s="27" t="s">
        <v>1875</v>
      </c>
      <c r="C299" s="28" t="e">
        <f ca="1">image("https://www.serebii.net/Shiny/HGSS/294.png",4,100,100)</f>
        <v>#NAME?</v>
      </c>
      <c r="D299" s="49">
        <v>180</v>
      </c>
    </row>
    <row r="300" spans="1:4" ht="36.75" hidden="1" customHeight="1">
      <c r="A300" s="24" t="s">
        <v>719</v>
      </c>
      <c r="B300" s="25" t="s">
        <v>1876</v>
      </c>
      <c r="C300" s="18"/>
      <c r="D300" s="30"/>
    </row>
    <row r="301" spans="1:4" ht="37.5" hidden="1" customHeight="1">
      <c r="A301" s="27" t="s">
        <v>720</v>
      </c>
      <c r="B301" s="27" t="s">
        <v>1877</v>
      </c>
      <c r="C301" s="28"/>
      <c r="D301" s="29"/>
    </row>
    <row r="302" spans="1:4" ht="36.75" hidden="1" customHeight="1">
      <c r="A302" s="24" t="s">
        <v>721</v>
      </c>
      <c r="B302" s="25" t="s">
        <v>1878</v>
      </c>
      <c r="C302" s="18"/>
      <c r="D302" s="30"/>
    </row>
    <row r="303" spans="1:4" ht="37.5" hidden="1" customHeight="1">
      <c r="A303" s="27" t="s">
        <v>722</v>
      </c>
      <c r="B303" s="27" t="s">
        <v>1879</v>
      </c>
      <c r="C303" s="28"/>
      <c r="D303" s="29"/>
    </row>
    <row r="304" spans="1:4" ht="36.75" hidden="1" customHeight="1">
      <c r="A304" s="24" t="s">
        <v>723</v>
      </c>
      <c r="B304" s="25" t="s">
        <v>1880</v>
      </c>
      <c r="C304" s="18"/>
      <c r="D304" s="30"/>
    </row>
    <row r="305" spans="1:4" ht="37.5" hidden="1" customHeight="1">
      <c r="A305" s="27" t="s">
        <v>724</v>
      </c>
      <c r="B305" s="27" t="s">
        <v>1881</v>
      </c>
      <c r="C305" s="28"/>
      <c r="D305" s="29"/>
    </row>
    <row r="306" spans="1:4" ht="36.75" hidden="1" customHeight="1">
      <c r="A306" s="24" t="s">
        <v>725</v>
      </c>
      <c r="B306" s="25" t="s">
        <v>1882</v>
      </c>
      <c r="C306" s="18"/>
      <c r="D306" s="30"/>
    </row>
    <row r="307" spans="1:4" ht="37.5" hidden="1" customHeight="1">
      <c r="A307" s="27" t="s">
        <v>726</v>
      </c>
      <c r="B307" s="27" t="s">
        <v>1883</v>
      </c>
      <c r="C307" s="28"/>
      <c r="D307" s="29"/>
    </row>
    <row r="308" spans="1:4" ht="36.75" hidden="1" customHeight="1">
      <c r="A308" s="24" t="s">
        <v>727</v>
      </c>
      <c r="B308" s="25" t="s">
        <v>1884</v>
      </c>
      <c r="C308" s="18"/>
      <c r="D308" s="30"/>
    </row>
    <row r="309" spans="1:4" ht="37.5" hidden="1" customHeight="1">
      <c r="A309" s="27" t="s">
        <v>728</v>
      </c>
      <c r="B309" s="27" t="s">
        <v>1885</v>
      </c>
      <c r="C309" s="28"/>
      <c r="D309" s="29"/>
    </row>
    <row r="310" spans="1:4" ht="36.75" hidden="1" customHeight="1">
      <c r="A310" s="24" t="s">
        <v>729</v>
      </c>
      <c r="B310" s="25" t="s">
        <v>1886</v>
      </c>
      <c r="C310" s="18"/>
      <c r="D310" s="30"/>
    </row>
    <row r="311" spans="1:4" ht="37.5" hidden="1" customHeight="1">
      <c r="A311" s="27" t="s">
        <v>730</v>
      </c>
      <c r="B311" s="27" t="s">
        <v>1887</v>
      </c>
      <c r="C311" s="28"/>
      <c r="D311" s="29"/>
    </row>
    <row r="312" spans="1:4" ht="54.75" customHeight="1">
      <c r="A312" s="24" t="s">
        <v>283</v>
      </c>
      <c r="B312" s="25" t="s">
        <v>1888</v>
      </c>
      <c r="C312" s="18" t="e">
        <f ca="1">image("https://www.serebii.net/Shiny/HGSS/307.png",4,100,100)</f>
        <v>#NAME?</v>
      </c>
      <c r="D312" s="30" t="s">
        <v>455</v>
      </c>
    </row>
    <row r="313" spans="1:4" ht="37.5" hidden="1" customHeight="1">
      <c r="A313" s="27" t="s">
        <v>1889</v>
      </c>
      <c r="B313" s="27" t="s">
        <v>1890</v>
      </c>
      <c r="C313" s="28"/>
      <c r="D313" s="29"/>
    </row>
    <row r="314" spans="1:4" ht="36.75" hidden="1" customHeight="1">
      <c r="A314" s="24" t="s">
        <v>731</v>
      </c>
      <c r="B314" s="25" t="s">
        <v>1891</v>
      </c>
      <c r="C314" s="18"/>
      <c r="D314" s="30"/>
    </row>
    <row r="315" spans="1:4" ht="37.5" hidden="1" customHeight="1">
      <c r="A315" s="27" t="s">
        <v>732</v>
      </c>
      <c r="B315" s="27" t="s">
        <v>1892</v>
      </c>
      <c r="C315" s="28"/>
      <c r="D315" s="29"/>
    </row>
    <row r="316" spans="1:4" ht="36.75" hidden="1" customHeight="1">
      <c r="A316" s="24" t="s">
        <v>733</v>
      </c>
      <c r="B316" s="25" t="s">
        <v>1893</v>
      </c>
      <c r="C316" s="18"/>
      <c r="D316" s="30"/>
    </row>
    <row r="317" spans="1:4" ht="37.5" hidden="1" customHeight="1">
      <c r="A317" s="27" t="s">
        <v>734</v>
      </c>
      <c r="B317" s="27" t="s">
        <v>1894</v>
      </c>
      <c r="C317" s="28"/>
      <c r="D317" s="29"/>
    </row>
    <row r="318" spans="1:4" ht="36.75" hidden="1" customHeight="1">
      <c r="A318" s="24" t="s">
        <v>735</v>
      </c>
      <c r="B318" s="25" t="s">
        <v>1895</v>
      </c>
      <c r="C318" s="18"/>
      <c r="D318" s="30"/>
    </row>
    <row r="319" spans="1:4" ht="37.5" hidden="1" customHeight="1">
      <c r="A319" s="27" t="s">
        <v>736</v>
      </c>
      <c r="B319" s="27" t="s">
        <v>1896</v>
      </c>
      <c r="C319" s="28"/>
      <c r="D319" s="29"/>
    </row>
    <row r="320" spans="1:4" ht="57.75" customHeight="1">
      <c r="A320" s="24" t="s">
        <v>284</v>
      </c>
      <c r="B320" s="25" t="s">
        <v>1897</v>
      </c>
      <c r="C320" s="18" t="e">
        <f ca="1">image("https://www.serebii.net/Shiny/HGSS/315.png",4,100,100)</f>
        <v>#NAME?</v>
      </c>
      <c r="D320" s="30" t="s">
        <v>455</v>
      </c>
    </row>
    <row r="321" spans="1:4" ht="54" customHeight="1">
      <c r="A321" s="27" t="s">
        <v>285</v>
      </c>
      <c r="B321" s="27" t="s">
        <v>1898</v>
      </c>
      <c r="C321" s="28" t="e">
        <f ca="1">image("https://www.serebii.net/Shiny/HGSS/316.png",4,100,100)</f>
        <v>#NAME?</v>
      </c>
      <c r="D321" s="29">
        <v>1300</v>
      </c>
    </row>
    <row r="322" spans="1:4" ht="36.75" hidden="1" customHeight="1">
      <c r="A322" s="24" t="s">
        <v>1899</v>
      </c>
      <c r="B322" s="25" t="s">
        <v>1900</v>
      </c>
      <c r="C322" s="18"/>
      <c r="D322" s="30"/>
    </row>
    <row r="323" spans="1:4" ht="37.5" hidden="1" customHeight="1">
      <c r="A323" s="27" t="s">
        <v>737</v>
      </c>
      <c r="B323" s="27" t="s">
        <v>1901</v>
      </c>
      <c r="C323" s="28"/>
      <c r="D323" s="29"/>
    </row>
    <row r="324" spans="1:4" ht="80.25" customHeight="1">
      <c r="A324" s="24" t="s">
        <v>288</v>
      </c>
      <c r="B324" s="25" t="s">
        <v>1902</v>
      </c>
      <c r="C324" s="18" t="e">
        <f ca="1">image("https://www.serebii.net/Shiny/HGSS/319.png",4,100,100)</f>
        <v>#NAME?</v>
      </c>
      <c r="D324" s="30" t="s">
        <v>455</v>
      </c>
    </row>
    <row r="325" spans="1:4" ht="36" hidden="1" customHeight="1">
      <c r="A325" s="27" t="s">
        <v>738</v>
      </c>
      <c r="B325" s="27" t="s">
        <v>1903</v>
      </c>
      <c r="C325" s="28"/>
      <c r="D325" s="29"/>
    </row>
    <row r="326" spans="1:4" ht="36.75" hidden="1" customHeight="1">
      <c r="A326" s="24" t="s">
        <v>739</v>
      </c>
      <c r="B326" s="25" t="s">
        <v>1904</v>
      </c>
      <c r="C326" s="18"/>
      <c r="D326" s="30"/>
    </row>
    <row r="327" spans="1:4" ht="37.5" hidden="1" customHeight="1">
      <c r="A327" s="27" t="s">
        <v>1905</v>
      </c>
      <c r="B327" s="27" t="s">
        <v>1906</v>
      </c>
      <c r="C327" s="28"/>
      <c r="D327" s="29"/>
    </row>
    <row r="328" spans="1:4" ht="36.75" hidden="1" customHeight="1">
      <c r="A328" s="24" t="s">
        <v>1907</v>
      </c>
      <c r="B328" s="25" t="s">
        <v>1908</v>
      </c>
      <c r="C328" s="18"/>
      <c r="D328" s="30"/>
    </row>
    <row r="329" spans="1:4" ht="37.5" hidden="1" customHeight="1">
      <c r="A329" s="27" t="s">
        <v>740</v>
      </c>
      <c r="B329" s="27" t="s">
        <v>1909</v>
      </c>
      <c r="C329" s="28"/>
      <c r="D329" s="29"/>
    </row>
    <row r="330" spans="1:4" ht="36.75" hidden="1" customHeight="1">
      <c r="A330" s="24" t="s">
        <v>741</v>
      </c>
      <c r="B330" s="25" t="s">
        <v>1910</v>
      </c>
      <c r="C330" s="18"/>
      <c r="D330" s="30"/>
    </row>
    <row r="331" spans="1:4" ht="37.5" hidden="1" customHeight="1">
      <c r="A331" s="27" t="s">
        <v>742</v>
      </c>
      <c r="B331" s="27" t="s">
        <v>1911</v>
      </c>
      <c r="C331" s="28"/>
      <c r="D331" s="29"/>
    </row>
    <row r="332" spans="1:4" ht="56.25" customHeight="1">
      <c r="A332" s="24" t="s">
        <v>291</v>
      </c>
      <c r="B332" s="25" t="s">
        <v>1912</v>
      </c>
      <c r="C332" s="18" t="e">
        <f ca="1">image("https://www.serebii.net/Shiny/HGSS/327.png",4,100,100)</f>
        <v>#NAME?</v>
      </c>
      <c r="D332" s="19">
        <v>825</v>
      </c>
    </row>
    <row r="333" spans="1:4" ht="37.5" hidden="1" customHeight="1">
      <c r="A333" s="27" t="s">
        <v>743</v>
      </c>
      <c r="B333" s="27" t="s">
        <v>1913</v>
      </c>
      <c r="C333" s="28"/>
      <c r="D333" s="29"/>
    </row>
    <row r="334" spans="1:4" ht="36.75" hidden="1" customHeight="1">
      <c r="A334" s="24" t="s">
        <v>744</v>
      </c>
      <c r="B334" s="25" t="s">
        <v>1914</v>
      </c>
      <c r="C334" s="18"/>
      <c r="D334" s="30"/>
    </row>
    <row r="335" spans="1:4" ht="69.75" customHeight="1">
      <c r="A335" s="27" t="s">
        <v>294</v>
      </c>
      <c r="B335" s="27" t="s">
        <v>1915</v>
      </c>
      <c r="C335" s="28" t="e">
        <f ca="1">image("https://www.serebii.net/Shiny/HGSS/330.png",4,100,100)</f>
        <v>#NAME?</v>
      </c>
      <c r="D335" s="29" t="s">
        <v>455</v>
      </c>
    </row>
    <row r="336" spans="1:4" ht="36.75" hidden="1" customHeight="1">
      <c r="A336" s="24" t="s">
        <v>745</v>
      </c>
      <c r="B336" s="25" t="s">
        <v>1916</v>
      </c>
      <c r="C336" s="18"/>
      <c r="D336" s="30"/>
    </row>
    <row r="337" spans="1:4" ht="37.5" hidden="1" customHeight="1">
      <c r="A337" s="27" t="s">
        <v>1917</v>
      </c>
      <c r="B337" s="27" t="s">
        <v>1918</v>
      </c>
      <c r="C337" s="28"/>
      <c r="D337" s="29"/>
    </row>
    <row r="338" spans="1:4" ht="36.75" hidden="1" customHeight="1">
      <c r="A338" s="24" t="s">
        <v>746</v>
      </c>
      <c r="B338" s="25" t="s">
        <v>1919</v>
      </c>
      <c r="C338" s="18"/>
      <c r="D338" s="30"/>
    </row>
    <row r="339" spans="1:4" ht="81.75" customHeight="1">
      <c r="A339" s="27" t="s">
        <v>296</v>
      </c>
      <c r="B339" s="27" t="s">
        <v>1920</v>
      </c>
      <c r="C339" s="28" t="e">
        <f ca="1">image("https://www.serebii.net/Shiny/HGSS/334.png",4,100,100)</f>
        <v>#NAME?</v>
      </c>
      <c r="D339" s="29" t="s">
        <v>455</v>
      </c>
    </row>
    <row r="340" spans="1:4" ht="36.75" hidden="1" customHeight="1">
      <c r="A340" s="24" t="s">
        <v>747</v>
      </c>
      <c r="B340" s="25" t="s">
        <v>1921</v>
      </c>
      <c r="C340" s="18"/>
      <c r="D340" s="30"/>
    </row>
    <row r="341" spans="1:4" ht="37.5" hidden="1" customHeight="1">
      <c r="A341" s="27" t="s">
        <v>748</v>
      </c>
      <c r="B341" s="27" t="s">
        <v>1922</v>
      </c>
      <c r="C341" s="28"/>
      <c r="D341" s="29"/>
    </row>
    <row r="342" spans="1:4" ht="36.75" hidden="1" customHeight="1">
      <c r="A342" s="24" t="s">
        <v>749</v>
      </c>
      <c r="B342" s="25" t="s">
        <v>1923</v>
      </c>
      <c r="C342" s="18"/>
      <c r="D342" s="30"/>
    </row>
    <row r="343" spans="1:4" ht="37.5" hidden="1" customHeight="1">
      <c r="A343" s="27" t="s">
        <v>750</v>
      </c>
      <c r="B343" s="27" t="s">
        <v>1924</v>
      </c>
      <c r="C343" s="28"/>
      <c r="D343" s="29"/>
    </row>
    <row r="344" spans="1:4" ht="36.75" hidden="1" customHeight="1">
      <c r="A344" s="24" t="s">
        <v>751</v>
      </c>
      <c r="B344" s="25" t="s">
        <v>1925</v>
      </c>
      <c r="C344" s="18"/>
      <c r="D344" s="30"/>
    </row>
    <row r="345" spans="1:4" ht="51.75" customHeight="1">
      <c r="A345" s="27" t="s">
        <v>299</v>
      </c>
      <c r="B345" s="27" t="s">
        <v>1926</v>
      </c>
      <c r="C345" s="28" t="e">
        <f ca="1">image("https://www.serebii.net/Shiny/HGSS/340.png",4,100,100)</f>
        <v>#NAME?</v>
      </c>
      <c r="D345" s="29" t="s">
        <v>455</v>
      </c>
    </row>
    <row r="346" spans="1:4" ht="36.75" hidden="1" customHeight="1">
      <c r="A346" s="24" t="s">
        <v>752</v>
      </c>
      <c r="B346" s="25" t="s">
        <v>1927</v>
      </c>
      <c r="C346" s="18"/>
      <c r="D346" s="30"/>
    </row>
    <row r="347" spans="1:4" ht="37.5" hidden="1" customHeight="1">
      <c r="A347" s="27" t="s">
        <v>753</v>
      </c>
      <c r="B347" s="27" t="s">
        <v>1928</v>
      </c>
      <c r="C347" s="28"/>
      <c r="D347" s="29"/>
    </row>
    <row r="348" spans="1:4" ht="36.75" hidden="1" customHeight="1">
      <c r="A348" s="24" t="s">
        <v>754</v>
      </c>
      <c r="B348" s="25" t="s">
        <v>1929</v>
      </c>
      <c r="C348" s="18"/>
      <c r="D348" s="30"/>
    </row>
    <row r="349" spans="1:4" ht="37.5" hidden="1" customHeight="1">
      <c r="A349" s="27" t="s">
        <v>755</v>
      </c>
      <c r="B349" s="27" t="s">
        <v>1930</v>
      </c>
      <c r="C349" s="28"/>
      <c r="D349" s="29"/>
    </row>
    <row r="350" spans="1:4" ht="36.75" hidden="1" customHeight="1">
      <c r="A350" s="24" t="s">
        <v>756</v>
      </c>
      <c r="B350" s="25" t="s">
        <v>1931</v>
      </c>
      <c r="C350" s="18"/>
      <c r="D350" s="30"/>
    </row>
    <row r="351" spans="1:4" ht="37.5" hidden="1" customHeight="1">
      <c r="A351" s="27" t="s">
        <v>757</v>
      </c>
      <c r="B351" s="27" t="s">
        <v>1932</v>
      </c>
      <c r="C351" s="28"/>
      <c r="D351" s="29"/>
    </row>
    <row r="352" spans="1:4" ht="36.75" hidden="1" customHeight="1">
      <c r="A352" s="24" t="s">
        <v>758</v>
      </c>
      <c r="B352" s="25" t="s">
        <v>1933</v>
      </c>
      <c r="C352" s="18"/>
      <c r="D352" s="30"/>
    </row>
    <row r="353" spans="1:4" ht="37.5" hidden="1" customHeight="1">
      <c r="A353" s="27" t="s">
        <v>759</v>
      </c>
      <c r="B353" s="27" t="s">
        <v>1934</v>
      </c>
      <c r="C353" s="28"/>
      <c r="D353" s="29"/>
    </row>
    <row r="354" spans="1:4" ht="36.75" hidden="1" customHeight="1">
      <c r="A354" s="24" t="s">
        <v>760</v>
      </c>
      <c r="B354" s="25" t="s">
        <v>1935</v>
      </c>
      <c r="C354" s="18"/>
      <c r="D354" s="30"/>
    </row>
    <row r="355" spans="1:4" ht="95.25" customHeight="1">
      <c r="A355" s="27" t="s">
        <v>301</v>
      </c>
      <c r="B355" s="27" t="s">
        <v>1936</v>
      </c>
      <c r="C355" s="28" t="e">
        <f ca="1">image("https://www.serebii.net/Shiny/HGSS/350.png",4,100,100)</f>
        <v>#NAME?</v>
      </c>
      <c r="D355" s="29" t="s">
        <v>455</v>
      </c>
    </row>
    <row r="356" spans="1:4" ht="36.75" hidden="1" customHeight="1">
      <c r="A356" s="24" t="s">
        <v>761</v>
      </c>
      <c r="B356" s="25" t="s">
        <v>1937</v>
      </c>
      <c r="C356" s="18"/>
      <c r="D356" s="30"/>
    </row>
    <row r="357" spans="1:4" ht="37.5" hidden="1" customHeight="1">
      <c r="A357" s="27" t="s">
        <v>762</v>
      </c>
      <c r="B357" s="27" t="s">
        <v>1938</v>
      </c>
      <c r="C357" s="28"/>
      <c r="D357" s="29"/>
    </row>
    <row r="358" spans="1:4" ht="36.75" hidden="1" customHeight="1">
      <c r="A358" s="24" t="s">
        <v>763</v>
      </c>
      <c r="B358" s="25" t="s">
        <v>1939</v>
      </c>
      <c r="C358" s="18"/>
      <c r="D358" s="30"/>
    </row>
    <row r="359" spans="1:4" ht="37.5" hidden="1" customHeight="1">
      <c r="A359" s="27" t="s">
        <v>764</v>
      </c>
      <c r="B359" s="27" t="s">
        <v>1940</v>
      </c>
      <c r="C359" s="28"/>
      <c r="D359" s="29"/>
    </row>
    <row r="360" spans="1:4" ht="53.25" customHeight="1">
      <c r="A360" s="24" t="s">
        <v>304</v>
      </c>
      <c r="B360" s="25" t="s">
        <v>1941</v>
      </c>
      <c r="C360" s="18" t="e">
        <f ca="1">image("https://www.serebii.net/Shiny/HGSS/355.png",4,100,100)</f>
        <v>#NAME?</v>
      </c>
      <c r="D360" s="30" t="s">
        <v>455</v>
      </c>
    </row>
    <row r="361" spans="1:4" ht="71.25" customHeight="1">
      <c r="A361" s="27" t="s">
        <v>307</v>
      </c>
      <c r="B361" s="27" t="s">
        <v>1942</v>
      </c>
      <c r="C361" s="28" t="e">
        <f ca="1">image("https://www.serebii.net/Shiny/HGSS/356.png",4,100,100)</f>
        <v>#NAME?</v>
      </c>
      <c r="D361" s="29" t="s">
        <v>455</v>
      </c>
    </row>
    <row r="362" spans="1:4" ht="36.75" hidden="1" customHeight="1">
      <c r="A362" s="24" t="s">
        <v>765</v>
      </c>
      <c r="B362" s="25" t="s">
        <v>1943</v>
      </c>
      <c r="C362" s="18"/>
      <c r="D362" s="30"/>
    </row>
    <row r="363" spans="1:4" ht="37.5" hidden="1" customHeight="1">
      <c r="A363" s="27" t="s">
        <v>766</v>
      </c>
      <c r="B363" s="27" t="s">
        <v>1944</v>
      </c>
      <c r="C363" s="28"/>
      <c r="D363" s="29"/>
    </row>
    <row r="364" spans="1:4" ht="36.75" hidden="1" customHeight="1">
      <c r="A364" s="24" t="s">
        <v>767</v>
      </c>
      <c r="B364" s="25" t="s">
        <v>1945</v>
      </c>
      <c r="C364" s="18"/>
      <c r="D364" s="30"/>
    </row>
    <row r="365" spans="1:4" ht="37.5" hidden="1" customHeight="1">
      <c r="A365" s="27" t="s">
        <v>768</v>
      </c>
      <c r="B365" s="27" t="s">
        <v>1946</v>
      </c>
      <c r="C365" s="28"/>
      <c r="D365" s="29"/>
    </row>
    <row r="366" spans="1:4" ht="36.75" hidden="1" customHeight="1">
      <c r="A366" s="24" t="s">
        <v>769</v>
      </c>
      <c r="B366" s="25" t="s">
        <v>1947</v>
      </c>
      <c r="C366" s="18"/>
      <c r="D366" s="30"/>
    </row>
    <row r="367" spans="1:4" ht="37.5" hidden="1" customHeight="1">
      <c r="A367" s="27" t="s">
        <v>770</v>
      </c>
      <c r="B367" s="27" t="s">
        <v>1948</v>
      </c>
      <c r="C367" s="28"/>
      <c r="D367" s="29"/>
    </row>
    <row r="368" spans="1:4" ht="51.75" customHeight="1">
      <c r="A368" s="24" t="s">
        <v>311</v>
      </c>
      <c r="B368" s="25" t="s">
        <v>1949</v>
      </c>
      <c r="C368" s="18" t="e">
        <f ca="1">image("https://www.serebii.net/Shiny/HGSS/363.png",4,100,100)</f>
        <v>#NAME?</v>
      </c>
      <c r="D368" s="19">
        <v>71</v>
      </c>
    </row>
    <row r="369" spans="1:5" ht="37.5" hidden="1" customHeight="1">
      <c r="A369" s="27" t="s">
        <v>771</v>
      </c>
      <c r="B369" s="27" t="s">
        <v>1950</v>
      </c>
      <c r="C369" s="28"/>
      <c r="D369" s="29"/>
    </row>
    <row r="370" spans="1:5" ht="36.75" hidden="1" customHeight="1">
      <c r="A370" s="24" t="s">
        <v>772</v>
      </c>
      <c r="B370" s="25" t="s">
        <v>1951</v>
      </c>
      <c r="C370" s="18"/>
      <c r="D370" s="30"/>
    </row>
    <row r="371" spans="1:5" ht="45" customHeight="1">
      <c r="A371" s="27" t="s">
        <v>313</v>
      </c>
      <c r="B371" s="27" t="s">
        <v>1952</v>
      </c>
      <c r="C371" s="28" t="e">
        <f ca="1">image("https://www.serebii.net/Shiny/HGSS/366.png",4,100,100)</f>
        <v>#NAME?</v>
      </c>
      <c r="D371" s="29" t="s">
        <v>455</v>
      </c>
      <c r="E371" s="46" t="s">
        <v>315</v>
      </c>
    </row>
    <row r="372" spans="1:5" ht="36.75" hidden="1" customHeight="1">
      <c r="A372" s="24" t="s">
        <v>773</v>
      </c>
      <c r="B372" s="25" t="s">
        <v>1953</v>
      </c>
      <c r="C372" s="18"/>
      <c r="D372" s="30"/>
    </row>
    <row r="373" spans="1:5" ht="37.5" hidden="1" customHeight="1">
      <c r="A373" s="27" t="s">
        <v>774</v>
      </c>
      <c r="B373" s="27" t="s">
        <v>1954</v>
      </c>
      <c r="C373" s="28"/>
      <c r="D373" s="29"/>
    </row>
    <row r="374" spans="1:5" ht="36.75" hidden="1" customHeight="1">
      <c r="A374" s="24" t="s">
        <v>1955</v>
      </c>
      <c r="B374" s="25" t="s">
        <v>1956</v>
      </c>
      <c r="C374" s="18"/>
      <c r="D374" s="30"/>
    </row>
    <row r="375" spans="1:5" ht="37.5" customHeight="1">
      <c r="A375" s="27" t="s">
        <v>316</v>
      </c>
      <c r="B375" s="27" t="s">
        <v>1957</v>
      </c>
      <c r="C375" s="28" t="e">
        <f ca="1">image("https://www.serebii.net/Shiny/HGSS/370.png",4,100,100)</f>
        <v>#NAME?</v>
      </c>
      <c r="D375" s="29" t="s">
        <v>455</v>
      </c>
    </row>
    <row r="376" spans="1:5" ht="36.75" hidden="1" customHeight="1">
      <c r="A376" s="24" t="s">
        <v>775</v>
      </c>
      <c r="B376" s="25" t="s">
        <v>1958</v>
      </c>
      <c r="C376" s="18"/>
      <c r="D376" s="30"/>
    </row>
    <row r="377" spans="1:5" ht="37.5" hidden="1" customHeight="1">
      <c r="A377" s="27" t="s">
        <v>776</v>
      </c>
      <c r="B377" s="27" t="s">
        <v>1959</v>
      </c>
      <c r="C377" s="28"/>
      <c r="D377" s="29"/>
    </row>
    <row r="378" spans="1:5" ht="36.75" hidden="1" customHeight="1">
      <c r="A378" s="24" t="s">
        <v>777</v>
      </c>
      <c r="B378" s="25" t="s">
        <v>1960</v>
      </c>
      <c r="C378" s="18"/>
      <c r="D378" s="30"/>
    </row>
    <row r="379" spans="1:5" ht="37.5" hidden="1" customHeight="1">
      <c r="A379" s="27" t="s">
        <v>778</v>
      </c>
      <c r="B379" s="27" t="s">
        <v>1961</v>
      </c>
      <c r="C379" s="28"/>
      <c r="D379" s="29"/>
    </row>
    <row r="380" spans="1:5" ht="36.75" hidden="1" customHeight="1">
      <c r="A380" s="24" t="s">
        <v>779</v>
      </c>
      <c r="B380" s="25" t="s">
        <v>1962</v>
      </c>
      <c r="C380" s="18"/>
      <c r="D380" s="30"/>
    </row>
    <row r="381" spans="1:5" ht="49.5" customHeight="1">
      <c r="A381" s="27" t="s">
        <v>319</v>
      </c>
      <c r="B381" s="27" t="s">
        <v>1963</v>
      </c>
      <c r="C381" s="28" t="e">
        <f ca="1">image("https://www.serebii.net/Shiny/HGSS/376.png",4,100,100)</f>
        <v>#NAME?</v>
      </c>
      <c r="D381" s="29" t="s">
        <v>455</v>
      </c>
    </row>
    <row r="382" spans="1:5" ht="36.75" hidden="1" customHeight="1">
      <c r="A382" s="24" t="s">
        <v>780</v>
      </c>
      <c r="B382" s="25" t="s">
        <v>1964</v>
      </c>
      <c r="C382" s="18"/>
      <c r="D382" s="30"/>
    </row>
    <row r="383" spans="1:5" ht="37.5" hidden="1" customHeight="1">
      <c r="A383" s="27" t="s">
        <v>781</v>
      </c>
      <c r="B383" s="27" t="s">
        <v>1965</v>
      </c>
      <c r="C383" s="28"/>
      <c r="D383" s="29"/>
    </row>
    <row r="384" spans="1:5" ht="36.75" hidden="1" customHeight="1">
      <c r="A384" s="24" t="s">
        <v>782</v>
      </c>
      <c r="B384" s="25" t="s">
        <v>1966</v>
      </c>
      <c r="C384" s="18"/>
      <c r="D384" s="30"/>
    </row>
    <row r="385" spans="1:4" ht="37.5" hidden="1" customHeight="1">
      <c r="A385" s="27" t="s">
        <v>783</v>
      </c>
      <c r="B385" s="27" t="s">
        <v>1967</v>
      </c>
      <c r="C385" s="28"/>
      <c r="D385" s="29"/>
    </row>
    <row r="386" spans="1:4" ht="36.75" hidden="1" customHeight="1">
      <c r="A386" s="24" t="s">
        <v>784</v>
      </c>
      <c r="B386" s="25" t="s">
        <v>1968</v>
      </c>
      <c r="C386" s="18"/>
      <c r="D386" s="30"/>
    </row>
    <row r="387" spans="1:4" ht="37.5" hidden="1" customHeight="1">
      <c r="A387" s="27" t="s">
        <v>785</v>
      </c>
      <c r="B387" s="27" t="s">
        <v>1969</v>
      </c>
      <c r="C387" s="28"/>
      <c r="D387" s="29"/>
    </row>
    <row r="388" spans="1:4" ht="36.75" hidden="1" customHeight="1">
      <c r="A388" s="24" t="s">
        <v>786</v>
      </c>
      <c r="B388" s="25" t="s">
        <v>1970</v>
      </c>
      <c r="C388" s="18"/>
      <c r="D388" s="30"/>
    </row>
    <row r="389" spans="1:4" ht="86.25" customHeight="1">
      <c r="A389" s="27" t="s">
        <v>320</v>
      </c>
      <c r="B389" s="27" t="s">
        <v>1971</v>
      </c>
      <c r="C389" s="28" t="e">
        <f ca="1">image("https://www.serebii.net/Shiny/HGSS/384.png",4,100,100)</f>
        <v>#NAME?</v>
      </c>
      <c r="D389" s="29" t="s">
        <v>455</v>
      </c>
    </row>
    <row r="390" spans="1:4" ht="36.75" hidden="1" customHeight="1">
      <c r="A390" s="24" t="s">
        <v>787</v>
      </c>
      <c r="B390" s="25" t="s">
        <v>1972</v>
      </c>
      <c r="C390" s="18"/>
      <c r="D390" s="30"/>
    </row>
    <row r="391" spans="1:4" ht="37.5" hidden="1" customHeight="1">
      <c r="A391" s="27" t="s">
        <v>1973</v>
      </c>
      <c r="B391" s="27" t="s">
        <v>1974</v>
      </c>
      <c r="C391" s="28"/>
      <c r="D391" s="29"/>
    </row>
    <row r="392" spans="1:4" ht="51.75" customHeight="1">
      <c r="A392" s="24" t="s">
        <v>322</v>
      </c>
      <c r="B392" s="25" t="s">
        <v>1975</v>
      </c>
      <c r="C392" s="18" t="e">
        <f ca="1">image("https://www.serebii.net/Shiny/HGSS/387.png",4,100,100)</f>
        <v>#NAME?</v>
      </c>
      <c r="D392" s="30" t="s">
        <v>455</v>
      </c>
    </row>
    <row r="393" spans="1:4" ht="37.5" hidden="1" customHeight="1">
      <c r="A393" s="27" t="s">
        <v>794</v>
      </c>
      <c r="B393" s="27" t="s">
        <v>1976</v>
      </c>
      <c r="C393" s="28"/>
      <c r="D393" s="29"/>
    </row>
    <row r="394" spans="1:4" ht="36.75" hidden="1" customHeight="1">
      <c r="A394" s="24" t="s">
        <v>795</v>
      </c>
      <c r="B394" s="25" t="s">
        <v>1977</v>
      </c>
      <c r="C394" s="18"/>
      <c r="D394" s="30"/>
    </row>
    <row r="395" spans="1:4" ht="60" customHeight="1">
      <c r="A395" s="27" t="s">
        <v>323</v>
      </c>
      <c r="B395" s="27" t="s">
        <v>1978</v>
      </c>
      <c r="C395" s="28" t="e">
        <f ca="1">image("https://www.serebii.net/Shiny/HGSS/390.png",4,100,100)</f>
        <v>#NAME?</v>
      </c>
      <c r="D395" s="29" t="s">
        <v>455</v>
      </c>
    </row>
    <row r="396" spans="1:4" ht="36.75" hidden="1" customHeight="1">
      <c r="A396" s="24" t="s">
        <v>796</v>
      </c>
      <c r="B396" s="25" t="s">
        <v>1979</v>
      </c>
      <c r="C396" s="18"/>
      <c r="D396" s="30"/>
    </row>
    <row r="397" spans="1:4" ht="37.5" hidden="1" customHeight="1">
      <c r="A397" s="27" t="s">
        <v>797</v>
      </c>
      <c r="B397" s="27" t="s">
        <v>1980</v>
      </c>
      <c r="C397" s="28"/>
      <c r="D397" s="29"/>
    </row>
    <row r="398" spans="1:4" ht="36.75" customHeight="1">
      <c r="A398" s="24" t="s">
        <v>324</v>
      </c>
      <c r="B398" s="25" t="s">
        <v>1981</v>
      </c>
      <c r="C398" s="18" t="e">
        <f ca="1">image("https://www.serebii.net/Shiny/HGSS/393.png",4,100,100)</f>
        <v>#NAME?</v>
      </c>
      <c r="D398" s="30" t="s">
        <v>455</v>
      </c>
    </row>
    <row r="399" spans="1:4" ht="37.5" hidden="1" customHeight="1">
      <c r="A399" s="27" t="s">
        <v>798</v>
      </c>
      <c r="B399" s="27" t="s">
        <v>1982</v>
      </c>
      <c r="C399" s="28"/>
      <c r="D399" s="29"/>
    </row>
    <row r="400" spans="1:4" ht="36.75" hidden="1" customHeight="1">
      <c r="A400" s="24" t="s">
        <v>799</v>
      </c>
      <c r="B400" s="25" t="s">
        <v>1983</v>
      </c>
      <c r="C400" s="18"/>
      <c r="D400" s="30"/>
    </row>
    <row r="401" spans="1:4" ht="37.5" hidden="1" customHeight="1">
      <c r="A401" s="27" t="s">
        <v>1984</v>
      </c>
      <c r="B401" s="27" t="s">
        <v>1985</v>
      </c>
      <c r="C401" s="28"/>
      <c r="D401" s="29"/>
    </row>
    <row r="402" spans="1:4" ht="36.75" hidden="1" customHeight="1">
      <c r="A402" s="24" t="s">
        <v>1986</v>
      </c>
      <c r="B402" s="25" t="s">
        <v>1987</v>
      </c>
      <c r="C402" s="18"/>
      <c r="D402" s="30"/>
    </row>
    <row r="403" spans="1:4" ht="86.25" customHeight="1">
      <c r="A403" s="27" t="s">
        <v>325</v>
      </c>
      <c r="B403" s="27" t="s">
        <v>1988</v>
      </c>
      <c r="C403" s="28" t="e">
        <f ca="1">image("https://www.serebii.net/Shiny/HGSS/398.png",4,100,100)</f>
        <v>#NAME?</v>
      </c>
      <c r="D403" s="49">
        <v>17</v>
      </c>
    </row>
    <row r="404" spans="1:4" ht="36.75" hidden="1" customHeight="1">
      <c r="A404" s="24" t="s">
        <v>1989</v>
      </c>
      <c r="B404" s="25" t="s">
        <v>1990</v>
      </c>
      <c r="C404" s="18"/>
      <c r="D404" s="30"/>
    </row>
    <row r="405" spans="1:4" ht="66.75" customHeight="1">
      <c r="A405" s="27" t="s">
        <v>327</v>
      </c>
      <c r="B405" s="27" t="s">
        <v>1991</v>
      </c>
      <c r="C405" s="28" t="e">
        <f ca="1">image("https://www.serebii.net/Shiny/HGSS/400.png",4,100,100)</f>
        <v>#NAME?</v>
      </c>
      <c r="D405" s="49">
        <v>1</v>
      </c>
    </row>
    <row r="406" spans="1:4" ht="36.75" hidden="1" customHeight="1">
      <c r="A406" s="24" t="s">
        <v>1992</v>
      </c>
      <c r="B406" s="25" t="s">
        <v>1993</v>
      </c>
      <c r="C406" s="18"/>
      <c r="D406" s="30"/>
    </row>
    <row r="407" spans="1:4" ht="37.5" hidden="1" customHeight="1">
      <c r="A407" s="27" t="s">
        <v>1994</v>
      </c>
      <c r="B407" s="27" t="s">
        <v>1995</v>
      </c>
      <c r="C407" s="28"/>
      <c r="D407" s="29"/>
    </row>
    <row r="408" spans="1:4" ht="36.75" customHeight="1">
      <c r="A408" s="24" t="s">
        <v>329</v>
      </c>
      <c r="B408" s="25" t="s">
        <v>1996</v>
      </c>
      <c r="C408" s="18" t="e">
        <f t="shared" ref="C408:C410" ca="1" si="0">image("https://www.serebii.net/Shiny/HGSS/403.png",4,100,100)</f>
        <v>#NAME?</v>
      </c>
      <c r="D408" s="30"/>
    </row>
    <row r="409" spans="1:4" ht="37.5" customHeight="1">
      <c r="A409" s="27" t="s">
        <v>330</v>
      </c>
      <c r="B409" s="27" t="s">
        <v>1997</v>
      </c>
      <c r="C409" s="28" t="e">
        <f t="shared" ca="1" si="0"/>
        <v>#NAME?</v>
      </c>
      <c r="D409" s="29"/>
    </row>
    <row r="410" spans="1:4" ht="36.75" customHeight="1">
      <c r="A410" s="24" t="s">
        <v>331</v>
      </c>
      <c r="B410" s="25" t="s">
        <v>1998</v>
      </c>
      <c r="C410" s="18" t="e">
        <f t="shared" ca="1" si="0"/>
        <v>#NAME?</v>
      </c>
      <c r="D410" s="30"/>
    </row>
    <row r="411" spans="1:4" ht="49.5" customHeight="1">
      <c r="A411" s="27" t="s">
        <v>332</v>
      </c>
      <c r="B411" s="27" t="s">
        <v>1999</v>
      </c>
      <c r="C411" s="28" t="e">
        <f ca="1">image("https://www.serebii.net/Shiny/HGSS/406.png",4,100,100)</f>
        <v>#NAME?</v>
      </c>
      <c r="D411" s="29"/>
    </row>
    <row r="412" spans="1:4" ht="57.75" customHeight="1">
      <c r="A412" s="24" t="s">
        <v>334</v>
      </c>
      <c r="B412" s="25" t="s">
        <v>2000</v>
      </c>
      <c r="C412" s="18" t="e">
        <f ca="1">image("https://www.serebii.net/Shiny/HGSS/407.png",4,100,100)</f>
        <v>#NAME?</v>
      </c>
      <c r="D412" s="30" t="s">
        <v>455</v>
      </c>
    </row>
    <row r="413" spans="1:4" ht="37.5" hidden="1" customHeight="1">
      <c r="A413" s="27" t="s">
        <v>800</v>
      </c>
      <c r="B413" s="27" t="s">
        <v>2001</v>
      </c>
      <c r="C413" s="28"/>
      <c r="D413" s="29"/>
    </row>
    <row r="414" spans="1:4" ht="36.75" hidden="1" customHeight="1">
      <c r="A414" s="24" t="s">
        <v>801</v>
      </c>
      <c r="B414" s="25" t="s">
        <v>2002</v>
      </c>
      <c r="C414" s="18"/>
      <c r="D414" s="30"/>
    </row>
    <row r="415" spans="1:4" ht="37.5" hidden="1" customHeight="1">
      <c r="A415" s="27" t="s">
        <v>802</v>
      </c>
      <c r="B415" s="27" t="s">
        <v>2003</v>
      </c>
      <c r="C415" s="28"/>
      <c r="D415" s="29"/>
    </row>
    <row r="416" spans="1:4" ht="36.75" hidden="1" customHeight="1">
      <c r="A416" s="24" t="s">
        <v>803</v>
      </c>
      <c r="B416" s="25" t="s">
        <v>2004</v>
      </c>
      <c r="C416" s="18"/>
      <c r="D416" s="30"/>
    </row>
    <row r="417" spans="1:4" ht="37.5" hidden="1" customHeight="1">
      <c r="A417" s="27" t="s">
        <v>2005</v>
      </c>
      <c r="B417" s="27" t="s">
        <v>2006</v>
      </c>
      <c r="C417" s="28"/>
      <c r="D417" s="29"/>
    </row>
    <row r="418" spans="1:4" ht="36.75" hidden="1" customHeight="1">
      <c r="A418" s="24" t="s">
        <v>2007</v>
      </c>
      <c r="B418" s="25" t="s">
        <v>2008</v>
      </c>
      <c r="C418" s="18"/>
      <c r="D418" s="30"/>
    </row>
    <row r="419" spans="1:4" ht="37.5" hidden="1" customHeight="1">
      <c r="A419" s="27" t="s">
        <v>810</v>
      </c>
      <c r="B419" s="27" t="s">
        <v>2009</v>
      </c>
      <c r="C419" s="28"/>
      <c r="D419" s="29"/>
    </row>
    <row r="420" spans="1:4" ht="36.75" hidden="1" customHeight="1">
      <c r="A420" s="24" t="s">
        <v>2010</v>
      </c>
      <c r="B420" s="25" t="s">
        <v>2011</v>
      </c>
      <c r="C420" s="18"/>
      <c r="D420" s="30"/>
    </row>
    <row r="421" spans="1:4" ht="37.5" hidden="1" customHeight="1">
      <c r="A421" s="27" t="s">
        <v>811</v>
      </c>
      <c r="B421" s="27" t="s">
        <v>2012</v>
      </c>
      <c r="C421" s="28"/>
      <c r="D421" s="29"/>
    </row>
    <row r="422" spans="1:4" ht="36.75" hidden="1" customHeight="1">
      <c r="A422" s="24" t="s">
        <v>2013</v>
      </c>
      <c r="B422" s="25" t="s">
        <v>2014</v>
      </c>
      <c r="C422" s="18"/>
      <c r="D422" s="30"/>
    </row>
    <row r="423" spans="1:4" ht="37.5" hidden="1" customHeight="1">
      <c r="A423" s="27" t="s">
        <v>2015</v>
      </c>
      <c r="B423" s="27" t="s">
        <v>2016</v>
      </c>
      <c r="C423" s="28"/>
      <c r="D423" s="29"/>
    </row>
    <row r="424" spans="1:4" ht="36.75" hidden="1" customHeight="1">
      <c r="A424" s="24" t="s">
        <v>2017</v>
      </c>
      <c r="B424" s="25" t="s">
        <v>2018</v>
      </c>
      <c r="C424" s="18"/>
      <c r="D424" s="30"/>
    </row>
    <row r="425" spans="1:4" ht="37.5" hidden="1" customHeight="1">
      <c r="A425" s="27" t="s">
        <v>812</v>
      </c>
      <c r="B425" s="27" t="s">
        <v>2019</v>
      </c>
      <c r="C425" s="28"/>
      <c r="D425" s="29"/>
    </row>
    <row r="426" spans="1:4" ht="36.75" hidden="1" customHeight="1">
      <c r="A426" s="24" t="s">
        <v>813</v>
      </c>
      <c r="B426" s="25" t="s">
        <v>2020</v>
      </c>
      <c r="C426" s="18"/>
      <c r="D426" s="30"/>
    </row>
    <row r="427" spans="1:4" ht="37.5" hidden="1" customHeight="1">
      <c r="A427" s="27" t="s">
        <v>814</v>
      </c>
      <c r="B427" s="27" t="s">
        <v>2021</v>
      </c>
      <c r="C427" s="28"/>
      <c r="D427" s="29"/>
    </row>
    <row r="428" spans="1:4" ht="36.75" hidden="1" customHeight="1">
      <c r="A428" s="24" t="s">
        <v>815</v>
      </c>
      <c r="B428" s="25" t="s">
        <v>2022</v>
      </c>
      <c r="C428" s="18"/>
      <c r="D428" s="30"/>
    </row>
    <row r="429" spans="1:4" ht="37.5" hidden="1" customHeight="1">
      <c r="A429" s="27" t="s">
        <v>2023</v>
      </c>
      <c r="B429" s="27" t="s">
        <v>2024</v>
      </c>
      <c r="C429" s="28"/>
      <c r="D429" s="29"/>
    </row>
    <row r="430" spans="1:4" ht="57.75" customHeight="1">
      <c r="A430" s="24" t="s">
        <v>336</v>
      </c>
      <c r="B430" s="25" t="s">
        <v>2025</v>
      </c>
      <c r="C430" s="18" t="e">
        <f ca="1">image("https://www.serebii.net/Shiny/HGSS/425.png",4,100,100)</f>
        <v>#NAME?</v>
      </c>
      <c r="D430" s="30"/>
    </row>
    <row r="431" spans="1:4" ht="37.5" hidden="1" customHeight="1">
      <c r="A431" s="27" t="s">
        <v>816</v>
      </c>
      <c r="B431" s="27" t="s">
        <v>2026</v>
      </c>
      <c r="C431" s="28"/>
      <c r="D431" s="29"/>
    </row>
    <row r="432" spans="1:4" ht="72.75" customHeight="1">
      <c r="A432" s="24" t="s">
        <v>338</v>
      </c>
      <c r="B432" s="25" t="s">
        <v>2027</v>
      </c>
      <c r="C432" s="18" t="e">
        <f ca="1">image("https://www.serebii.net/Shiny/HGSS/427.png",4,100,100)</f>
        <v>#NAME?</v>
      </c>
      <c r="D432" s="30" t="s">
        <v>455</v>
      </c>
    </row>
    <row r="433" spans="1:5" ht="66.75" customHeight="1">
      <c r="A433" s="27" t="s">
        <v>340</v>
      </c>
      <c r="B433" s="27" t="s">
        <v>2028</v>
      </c>
      <c r="C433" s="28" t="e">
        <f ca="1">image("https://www.serebii.net/Shiny/HGSS/428.png",4,100,100)</f>
        <v>#NAME?</v>
      </c>
      <c r="D433" s="29" t="s">
        <v>455</v>
      </c>
    </row>
    <row r="434" spans="1:5" ht="36.75" hidden="1" customHeight="1">
      <c r="A434" s="24" t="s">
        <v>817</v>
      </c>
      <c r="B434" s="25" t="s">
        <v>2029</v>
      </c>
      <c r="C434" s="18"/>
      <c r="D434" s="30"/>
    </row>
    <row r="435" spans="1:5" ht="37.5" hidden="1" customHeight="1">
      <c r="A435" s="27" t="s">
        <v>818</v>
      </c>
      <c r="B435" s="27" t="s">
        <v>2030</v>
      </c>
      <c r="C435" s="28"/>
      <c r="D435" s="29"/>
    </row>
    <row r="436" spans="1:5" ht="36.75" hidden="1" customHeight="1">
      <c r="A436" s="24" t="s">
        <v>819</v>
      </c>
      <c r="B436" s="25" t="s">
        <v>2031</v>
      </c>
      <c r="C436" s="18"/>
      <c r="D436" s="30"/>
    </row>
    <row r="437" spans="1:5" ht="37.5" hidden="1" customHeight="1">
      <c r="A437" s="27" t="s">
        <v>820</v>
      </c>
      <c r="B437" s="27" t="s">
        <v>2032</v>
      </c>
      <c r="C437" s="28"/>
      <c r="D437" s="29"/>
    </row>
    <row r="438" spans="1:5" ht="36.75" hidden="1" customHeight="1">
      <c r="A438" s="24" t="s">
        <v>821</v>
      </c>
      <c r="B438" s="25" t="s">
        <v>2033</v>
      </c>
      <c r="C438" s="18"/>
      <c r="D438" s="30"/>
    </row>
    <row r="439" spans="1:5" ht="37.5" hidden="1" customHeight="1">
      <c r="A439" s="27" t="s">
        <v>822</v>
      </c>
      <c r="B439" s="27" t="s">
        <v>2034</v>
      </c>
      <c r="C439" s="28"/>
      <c r="D439" s="29"/>
    </row>
    <row r="440" spans="1:5" ht="36.75" hidden="1" customHeight="1">
      <c r="A440" s="24" t="s">
        <v>823</v>
      </c>
      <c r="B440" s="25" t="s">
        <v>2035</v>
      </c>
      <c r="C440" s="18"/>
      <c r="D440" s="30"/>
      <c r="E440" s="54" t="s">
        <v>2036</v>
      </c>
    </row>
    <row r="441" spans="1:5" ht="37.5" customHeight="1">
      <c r="A441" s="27" t="s">
        <v>342</v>
      </c>
      <c r="B441" s="27" t="s">
        <v>2037</v>
      </c>
      <c r="C441" s="28" t="e">
        <f ca="1">image("https://www.serebii.net/Shiny/HGSS/436.png",4,100,100)</f>
        <v>#NAME?</v>
      </c>
      <c r="D441" s="29" t="s">
        <v>455</v>
      </c>
      <c r="E441" s="55"/>
    </row>
    <row r="442" spans="1:5" ht="36.75" hidden="1" customHeight="1">
      <c r="A442" s="24" t="s">
        <v>824</v>
      </c>
      <c r="B442" s="25" t="s">
        <v>2038</v>
      </c>
      <c r="C442" s="18"/>
      <c r="D442" s="30"/>
    </row>
    <row r="443" spans="1:5" ht="37.5" hidden="1" customHeight="1">
      <c r="A443" s="27" t="s">
        <v>825</v>
      </c>
      <c r="B443" s="27" t="s">
        <v>2039</v>
      </c>
      <c r="C443" s="28"/>
      <c r="D443" s="29"/>
    </row>
    <row r="444" spans="1:5" ht="36.75" hidden="1" customHeight="1">
      <c r="A444" s="24" t="s">
        <v>826</v>
      </c>
      <c r="B444" s="25" t="s">
        <v>2040</v>
      </c>
      <c r="C444" s="18"/>
      <c r="D444" s="30"/>
    </row>
    <row r="445" spans="1:5" ht="37.5" hidden="1" customHeight="1">
      <c r="A445" s="27" t="s">
        <v>827</v>
      </c>
      <c r="B445" s="27" t="s">
        <v>2041</v>
      </c>
      <c r="C445" s="28"/>
      <c r="D445" s="29"/>
    </row>
    <row r="446" spans="1:5" ht="36.75" hidden="1" customHeight="1">
      <c r="A446" s="24" t="s">
        <v>828</v>
      </c>
      <c r="B446" s="25" t="s">
        <v>2042</v>
      </c>
      <c r="C446" s="18"/>
      <c r="D446" s="30"/>
    </row>
    <row r="447" spans="1:5" ht="57.75" hidden="1" customHeight="1">
      <c r="A447" s="34" t="s">
        <v>829</v>
      </c>
      <c r="B447" s="27" t="s">
        <v>2043</v>
      </c>
      <c r="C447" s="28"/>
      <c r="D447" s="35"/>
    </row>
    <row r="448" spans="1:5" ht="57.75" customHeight="1">
      <c r="A448" s="24" t="s">
        <v>343</v>
      </c>
      <c r="B448" s="25" t="s">
        <v>2044</v>
      </c>
      <c r="C448" s="18" t="e">
        <f ca="1">image("https://www.serebii.net/Shiny/HGSS/443.png",4,100,100)</f>
        <v>#NAME?</v>
      </c>
      <c r="D448" s="30" t="s">
        <v>455</v>
      </c>
    </row>
    <row r="449" spans="1:4" ht="72" customHeight="1">
      <c r="A449" s="27" t="s">
        <v>345</v>
      </c>
      <c r="B449" s="27" t="s">
        <v>2045</v>
      </c>
      <c r="C449" s="28" t="e">
        <f ca="1">image("https://www.serebii.net/Shiny/HGSS/444.png",4,100,100)</f>
        <v>#NAME?</v>
      </c>
      <c r="D449" s="29"/>
    </row>
    <row r="450" spans="1:4" ht="84.75" customHeight="1">
      <c r="A450" s="24" t="s">
        <v>346</v>
      </c>
      <c r="B450" s="25" t="s">
        <v>2046</v>
      </c>
      <c r="C450" s="18" t="e">
        <f ca="1">image("https://www.serebii.net/Shiny/HGSS/445.png",4,100,100)</f>
        <v>#NAME?</v>
      </c>
      <c r="D450" s="30"/>
    </row>
    <row r="451" spans="1:4" ht="37.5" hidden="1" customHeight="1">
      <c r="A451" s="27" t="s">
        <v>830</v>
      </c>
      <c r="B451" s="27" t="s">
        <v>2047</v>
      </c>
      <c r="C451" s="28"/>
      <c r="D451" s="29"/>
    </row>
    <row r="452" spans="1:4" ht="36.75" hidden="1" customHeight="1">
      <c r="A452" s="24" t="s">
        <v>831</v>
      </c>
      <c r="B452" s="25" t="s">
        <v>2048</v>
      </c>
      <c r="C452" s="18"/>
      <c r="D452" s="30"/>
    </row>
    <row r="453" spans="1:4" ht="84" customHeight="1">
      <c r="A453" s="27" t="s">
        <v>348</v>
      </c>
      <c r="B453" s="27" t="s">
        <v>2049</v>
      </c>
      <c r="C453" s="28" t="e">
        <f ca="1">image("https://www.serebii.net/Shiny/HGSS/448.png",4,100,100)</f>
        <v>#NAME?</v>
      </c>
      <c r="D453" s="49">
        <v>73</v>
      </c>
    </row>
    <row r="454" spans="1:4" ht="36.75" hidden="1" customHeight="1">
      <c r="A454" s="24" t="s">
        <v>832</v>
      </c>
      <c r="B454" s="25" t="s">
        <v>2050</v>
      </c>
      <c r="C454" s="18"/>
      <c r="D454" s="30"/>
    </row>
    <row r="455" spans="1:4" ht="37.5" hidden="1" customHeight="1">
      <c r="A455" s="27" t="s">
        <v>833</v>
      </c>
      <c r="B455" s="27" t="s">
        <v>2051</v>
      </c>
      <c r="C455" s="28"/>
      <c r="D455" s="29"/>
    </row>
    <row r="456" spans="1:4" ht="36.75" hidden="1" customHeight="1">
      <c r="A456" s="24" t="s">
        <v>834</v>
      </c>
      <c r="B456" s="25" t="s">
        <v>2052</v>
      </c>
      <c r="C456" s="18"/>
      <c r="D456" s="30"/>
    </row>
    <row r="457" spans="1:4" ht="60" customHeight="1">
      <c r="A457" s="27" t="s">
        <v>352</v>
      </c>
      <c r="B457" s="27" t="s">
        <v>2053</v>
      </c>
      <c r="C457" s="28" t="e">
        <f ca="1">image("https://www.serebii.net/Shiny/HGSS/452.png",4,100,100)</f>
        <v>#NAME?</v>
      </c>
      <c r="D457" s="29" t="s">
        <v>455</v>
      </c>
    </row>
    <row r="458" spans="1:4" ht="36.75" hidden="1" customHeight="1">
      <c r="A458" s="24" t="s">
        <v>2054</v>
      </c>
      <c r="B458" s="25" t="s">
        <v>2055</v>
      </c>
      <c r="C458" s="18"/>
      <c r="D458" s="30"/>
    </row>
    <row r="459" spans="1:4" ht="37.5" hidden="1" customHeight="1">
      <c r="A459" s="27" t="s">
        <v>2056</v>
      </c>
      <c r="B459" s="27" t="s">
        <v>2057</v>
      </c>
      <c r="C459" s="28"/>
      <c r="D459" s="29"/>
    </row>
    <row r="460" spans="1:4" ht="56.25" customHeight="1">
      <c r="A460" s="24" t="s">
        <v>354</v>
      </c>
      <c r="B460" s="25" t="s">
        <v>2058</v>
      </c>
      <c r="C460" s="18" t="e">
        <f ca="1">image("https://www.serebii.net/Shiny/HGSS/455.png",4,100,100)</f>
        <v>#NAME?</v>
      </c>
      <c r="D460" s="30"/>
    </row>
    <row r="461" spans="1:4" ht="37.5" hidden="1" customHeight="1">
      <c r="A461" s="27" t="s">
        <v>2059</v>
      </c>
      <c r="B461" s="27" t="s">
        <v>2060</v>
      </c>
      <c r="C461" s="28"/>
      <c r="D461" s="29"/>
    </row>
    <row r="462" spans="1:4" ht="36.75" hidden="1" customHeight="1">
      <c r="A462" s="24" t="s">
        <v>2061</v>
      </c>
      <c r="B462" s="25" t="s">
        <v>2062</v>
      </c>
      <c r="C462" s="18"/>
      <c r="D462" s="30"/>
    </row>
    <row r="463" spans="1:4" ht="37.5" hidden="1" customHeight="1">
      <c r="A463" s="27" t="s">
        <v>835</v>
      </c>
      <c r="B463" s="27" t="s">
        <v>2063</v>
      </c>
      <c r="C463" s="28"/>
      <c r="D463" s="29"/>
    </row>
    <row r="464" spans="1:4" ht="36.75" hidden="1" customHeight="1">
      <c r="A464" s="24" t="s">
        <v>2064</v>
      </c>
      <c r="B464" s="25" t="s">
        <v>2065</v>
      </c>
      <c r="C464" s="18"/>
      <c r="D464" s="30"/>
    </row>
    <row r="465" spans="1:4" ht="37.5" hidden="1" customHeight="1">
      <c r="A465" s="27" t="s">
        <v>2066</v>
      </c>
      <c r="B465" s="27" t="s">
        <v>2067</v>
      </c>
      <c r="C465" s="28"/>
      <c r="D465" s="29"/>
    </row>
    <row r="466" spans="1:4" ht="36.75" hidden="1" customHeight="1">
      <c r="A466" s="24" t="s">
        <v>2068</v>
      </c>
      <c r="B466" s="25" t="s">
        <v>2069</v>
      </c>
      <c r="C466" s="18"/>
      <c r="D466" s="30"/>
    </row>
    <row r="467" spans="1:4" ht="37.5" hidden="1" customHeight="1">
      <c r="A467" s="27" t="s">
        <v>836</v>
      </c>
      <c r="B467" s="27" t="s">
        <v>2070</v>
      </c>
      <c r="C467" s="28"/>
      <c r="D467" s="29"/>
    </row>
    <row r="468" spans="1:4" ht="36.75" hidden="1" customHeight="1">
      <c r="A468" s="24" t="s">
        <v>837</v>
      </c>
      <c r="B468" s="25" t="s">
        <v>2071</v>
      </c>
      <c r="C468" s="18"/>
      <c r="D468" s="30"/>
    </row>
    <row r="469" spans="1:4" ht="74.25" customHeight="1">
      <c r="A469" s="27" t="s">
        <v>357</v>
      </c>
      <c r="B469" s="27" t="s">
        <v>2072</v>
      </c>
      <c r="C469" s="28" t="e">
        <f ca="1">image("https://www.serebii.net/Shiny/SWSH/464.png",4,100,100)</f>
        <v>#NAME?</v>
      </c>
      <c r="D469" s="29" t="s">
        <v>455</v>
      </c>
    </row>
    <row r="470" spans="1:4" ht="36.75" hidden="1" customHeight="1">
      <c r="A470" s="24" t="s">
        <v>2073</v>
      </c>
      <c r="B470" s="25" t="s">
        <v>2074</v>
      </c>
      <c r="C470" s="18"/>
      <c r="D470" s="30"/>
    </row>
    <row r="471" spans="1:4" ht="98.25" customHeight="1">
      <c r="A471" s="27" t="s">
        <v>358</v>
      </c>
      <c r="B471" s="27" t="s">
        <v>2075</v>
      </c>
      <c r="C471" s="28" t="e">
        <f ca="1">image("https://www.serebii.net/Shiny/SWSH/466.png",4,100,100)</f>
        <v>#NAME?</v>
      </c>
      <c r="D471" s="29" t="s">
        <v>455</v>
      </c>
    </row>
    <row r="472" spans="1:4" ht="73.5" customHeight="1">
      <c r="A472" s="24" t="s">
        <v>359</v>
      </c>
      <c r="B472" s="25" t="s">
        <v>2076</v>
      </c>
      <c r="C472" s="18" t="e">
        <f ca="1">image("https://www.serebii.net/Shiny/SWSH/467.png",4,100,100)</f>
        <v>#NAME?</v>
      </c>
      <c r="D472" s="30" t="s">
        <v>455</v>
      </c>
    </row>
    <row r="473" spans="1:4" ht="37.5" hidden="1" customHeight="1">
      <c r="A473" s="27" t="s">
        <v>838</v>
      </c>
      <c r="B473" s="27" t="s">
        <v>2077</v>
      </c>
      <c r="C473" s="28"/>
      <c r="D473" s="29"/>
    </row>
    <row r="474" spans="1:4" ht="36.75" hidden="1" customHeight="1">
      <c r="A474" s="24" t="s">
        <v>839</v>
      </c>
      <c r="B474" s="25" t="s">
        <v>2078</v>
      </c>
      <c r="C474" s="18"/>
      <c r="D474" s="30"/>
    </row>
    <row r="475" spans="1:4" ht="37.5" hidden="1" customHeight="1">
      <c r="A475" s="27" t="s">
        <v>840</v>
      </c>
      <c r="B475" s="27" t="s">
        <v>2079</v>
      </c>
      <c r="C475" s="28"/>
      <c r="D475" s="29"/>
    </row>
    <row r="476" spans="1:4" ht="36.75" hidden="1" customHeight="1">
      <c r="A476" s="24" t="s">
        <v>841</v>
      </c>
      <c r="B476" s="25" t="s">
        <v>2080</v>
      </c>
      <c r="C476" s="18"/>
      <c r="D476" s="30"/>
    </row>
    <row r="477" spans="1:4" ht="37.5" hidden="1" customHeight="1">
      <c r="A477" s="27" t="s">
        <v>842</v>
      </c>
      <c r="B477" s="27" t="s">
        <v>2081</v>
      </c>
      <c r="C477" s="28"/>
      <c r="D477" s="29"/>
    </row>
    <row r="478" spans="1:4" ht="36.75" hidden="1" customHeight="1">
      <c r="A478" s="24" t="s">
        <v>2082</v>
      </c>
      <c r="B478" s="25" t="s">
        <v>2083</v>
      </c>
      <c r="C478" s="18"/>
      <c r="D478" s="30"/>
    </row>
    <row r="479" spans="1:4" ht="75" customHeight="1">
      <c r="A479" s="27" t="s">
        <v>361</v>
      </c>
      <c r="B479" s="27" t="s">
        <v>2084</v>
      </c>
      <c r="C479" s="28" t="e">
        <f ca="1">image("https://www.serebii.net/Shiny/SWSH/474.png",4,100,100)</f>
        <v>#NAME?</v>
      </c>
      <c r="D479" s="29" t="s">
        <v>455</v>
      </c>
    </row>
    <row r="480" spans="1:4" ht="36.75" hidden="1" customHeight="1">
      <c r="A480" s="24" t="s">
        <v>843</v>
      </c>
      <c r="B480" s="25" t="s">
        <v>2085</v>
      </c>
      <c r="C480" s="18"/>
      <c r="D480" s="30"/>
    </row>
    <row r="481" spans="1:4" ht="37.5" hidden="1" customHeight="1">
      <c r="A481" s="27" t="s">
        <v>844</v>
      </c>
      <c r="B481" s="27" t="s">
        <v>2086</v>
      </c>
      <c r="C481" s="28"/>
      <c r="D481" s="29"/>
    </row>
    <row r="482" spans="1:4" ht="66.75" customHeight="1">
      <c r="A482" s="24" t="s">
        <v>363</v>
      </c>
      <c r="B482" s="25" t="s">
        <v>2087</v>
      </c>
      <c r="C482" s="18" t="e">
        <f ca="1">image("https://www.serebii.net/Shiny/SWSH/477.png",4,100,100)</f>
        <v>#NAME?</v>
      </c>
      <c r="D482" s="30" t="s">
        <v>455</v>
      </c>
    </row>
    <row r="483" spans="1:4" ht="37.5" hidden="1" customHeight="1">
      <c r="A483" s="27" t="s">
        <v>845</v>
      </c>
      <c r="B483" s="27" t="s">
        <v>2088</v>
      </c>
      <c r="C483" s="28"/>
      <c r="D483" s="29"/>
    </row>
    <row r="484" spans="1:4" ht="36.75" hidden="1" customHeight="1">
      <c r="A484" s="24" t="s">
        <v>846</v>
      </c>
      <c r="B484" s="25" t="s">
        <v>2089</v>
      </c>
      <c r="C484" s="18"/>
      <c r="D484" s="30"/>
    </row>
    <row r="485" spans="1:4" ht="37.5" hidden="1" customHeight="1">
      <c r="A485" s="27" t="s">
        <v>852</v>
      </c>
      <c r="B485" s="27" t="s">
        <v>2090</v>
      </c>
      <c r="C485" s="28"/>
      <c r="D485" s="29"/>
    </row>
    <row r="486" spans="1:4" ht="36.75" hidden="1" customHeight="1">
      <c r="A486" s="24" t="s">
        <v>853</v>
      </c>
      <c r="B486" s="25" t="s">
        <v>2091</v>
      </c>
      <c r="C486" s="18"/>
      <c r="D486" s="30"/>
    </row>
    <row r="487" spans="1:4" ht="37.5" hidden="1" customHeight="1">
      <c r="A487" s="27" t="s">
        <v>854</v>
      </c>
      <c r="B487" s="27" t="s">
        <v>2092</v>
      </c>
      <c r="C487" s="28"/>
      <c r="D487" s="29"/>
    </row>
    <row r="488" spans="1:4" ht="62.25" customHeight="1">
      <c r="A488" s="24" t="s">
        <v>364</v>
      </c>
      <c r="B488" s="25" t="s">
        <v>2093</v>
      </c>
      <c r="C488" s="18" t="e">
        <f ca="1">image("http://www.serebii.net/Shiny/Pl/483.png",4,75,75)</f>
        <v>#NAME?</v>
      </c>
      <c r="D488" s="30" t="s">
        <v>455</v>
      </c>
    </row>
    <row r="489" spans="1:4" ht="60" customHeight="1">
      <c r="A489" s="27" t="s">
        <v>366</v>
      </c>
      <c r="B489" s="27" t="s">
        <v>2094</v>
      </c>
      <c r="C489" s="28" t="e">
        <f ca="1">image("http://www.serebii.net/Shiny/Pl/484.png",4,75,75)</f>
        <v>#NAME?</v>
      </c>
      <c r="D489" s="29" t="s">
        <v>455</v>
      </c>
    </row>
    <row r="490" spans="1:4" ht="36.75" hidden="1" customHeight="1">
      <c r="A490" s="24" t="s">
        <v>855</v>
      </c>
      <c r="B490" s="25" t="s">
        <v>2095</v>
      </c>
      <c r="C490" s="18"/>
      <c r="D490" s="30"/>
    </row>
    <row r="491" spans="1:4" ht="36" hidden="1" customHeight="1">
      <c r="A491" s="27" t="s">
        <v>856</v>
      </c>
      <c r="B491" s="27" t="s">
        <v>2096</v>
      </c>
      <c r="C491" s="28"/>
      <c r="D491" s="29"/>
    </row>
    <row r="492" spans="1:4" ht="60.75" customHeight="1">
      <c r="A492" s="36" t="s">
        <v>367</v>
      </c>
      <c r="B492" s="25" t="s">
        <v>2097</v>
      </c>
      <c r="C492" s="18" t="e">
        <f ca="1">image("http://www.serebii.net/Shiny/Pl/487.png",4,75,75)</f>
        <v>#NAME?</v>
      </c>
      <c r="D492" s="30" t="s">
        <v>455</v>
      </c>
    </row>
    <row r="493" spans="1:4" ht="37.5" hidden="1" customHeight="1">
      <c r="A493" s="27" t="s">
        <v>857</v>
      </c>
      <c r="B493" s="27" t="s">
        <v>2098</v>
      </c>
      <c r="C493" s="28"/>
      <c r="D493" s="29"/>
    </row>
    <row r="494" spans="1:4" ht="36.75" hidden="1" customHeight="1">
      <c r="A494" s="24" t="s">
        <v>858</v>
      </c>
      <c r="B494" s="25" t="s">
        <v>2099</v>
      </c>
      <c r="C494" s="18"/>
      <c r="D494" s="30"/>
    </row>
    <row r="495" spans="1:4" ht="37.5" hidden="1" customHeight="1">
      <c r="A495" s="27" t="s">
        <v>859</v>
      </c>
      <c r="B495" s="27" t="s">
        <v>2100</v>
      </c>
      <c r="C495" s="28"/>
      <c r="D495" s="29"/>
    </row>
    <row r="496" spans="1:4" ht="36.75" hidden="1" customHeight="1">
      <c r="A496" s="24" t="s">
        <v>860</v>
      </c>
      <c r="B496" s="25" t="s">
        <v>2101</v>
      </c>
      <c r="C496" s="18"/>
      <c r="D496" s="30"/>
    </row>
    <row r="497" spans="1:19" ht="37.5" hidden="1" customHeight="1">
      <c r="A497" s="27" t="s">
        <v>861</v>
      </c>
      <c r="B497" s="27" t="s">
        <v>2102</v>
      </c>
      <c r="C497" s="28"/>
      <c r="D497" s="29"/>
    </row>
    <row r="498" spans="1:19" ht="35.25" hidden="1" customHeight="1">
      <c r="A498" s="24" t="s">
        <v>863</v>
      </c>
      <c r="B498" s="25" t="s">
        <v>2103</v>
      </c>
      <c r="C498" s="18"/>
      <c r="D498" s="56"/>
    </row>
    <row r="499" spans="1:19" ht="37.5" hidden="1" customHeight="1">
      <c r="A499" s="27" t="s">
        <v>865</v>
      </c>
      <c r="B499" s="27" t="s">
        <v>2104</v>
      </c>
      <c r="C499" s="28"/>
      <c r="D499" s="29"/>
    </row>
    <row r="500" spans="1:19" ht="55.5" customHeight="1">
      <c r="A500" s="57" t="s">
        <v>368</v>
      </c>
      <c r="B500" s="58" t="s">
        <v>2105</v>
      </c>
      <c r="C500" s="59" t="e">
        <f ca="1">image("https://www.serebii.net/Shiny/SWSH/495.png",4,100,100)</f>
        <v>#NAME?</v>
      </c>
      <c r="D500" s="60" t="s">
        <v>455</v>
      </c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</row>
    <row r="501" spans="1:19" ht="54" customHeight="1">
      <c r="A501" s="27" t="s">
        <v>370</v>
      </c>
      <c r="B501" s="27" t="s">
        <v>2106</v>
      </c>
      <c r="C501" s="28" t="e">
        <f ca="1">image("https://www.serebii.net/Shiny/SWSH/496.png",4,100,100)</f>
        <v>#NAME?</v>
      </c>
      <c r="D501" s="29" t="s">
        <v>455</v>
      </c>
    </row>
    <row r="502" spans="1:19" ht="64.5" customHeight="1">
      <c r="A502" s="24" t="s">
        <v>371</v>
      </c>
      <c r="B502" s="58" t="s">
        <v>2107</v>
      </c>
      <c r="C502" s="18" t="e">
        <f ca="1">image("https://www.serebii.net/Shiny/SWSH/497.png",4,100,100)</f>
        <v>#NAME?</v>
      </c>
      <c r="D502" s="30" t="s">
        <v>455</v>
      </c>
    </row>
    <row r="503" spans="1:19" ht="37.5" hidden="1" customHeight="1">
      <c r="A503" s="27" t="s">
        <v>866</v>
      </c>
      <c r="B503" s="27" t="s">
        <v>2108</v>
      </c>
      <c r="C503" s="28"/>
      <c r="D503" s="29"/>
    </row>
    <row r="504" spans="1:19" ht="35.25" hidden="1" customHeight="1">
      <c r="A504" s="24" t="s">
        <v>867</v>
      </c>
      <c r="B504" s="58" t="s">
        <v>2109</v>
      </c>
      <c r="C504" s="18"/>
      <c r="D504" s="56"/>
    </row>
    <row r="505" spans="1:19" ht="37.5" hidden="1" customHeight="1">
      <c r="A505" s="27" t="s">
        <v>868</v>
      </c>
      <c r="B505" s="27" t="s">
        <v>2110</v>
      </c>
      <c r="C505" s="28"/>
      <c r="D505" s="29"/>
    </row>
    <row r="506" spans="1:19" ht="35.25" hidden="1" customHeight="1">
      <c r="A506" s="24" t="s">
        <v>869</v>
      </c>
      <c r="B506" s="58" t="s">
        <v>2111</v>
      </c>
      <c r="C506" s="18"/>
      <c r="D506" s="56"/>
    </row>
    <row r="507" spans="1:19" ht="37.5" hidden="1" customHeight="1">
      <c r="A507" s="27" t="s">
        <v>870</v>
      </c>
      <c r="B507" s="27" t="s">
        <v>2112</v>
      </c>
      <c r="C507" s="28"/>
      <c r="D507" s="29"/>
    </row>
    <row r="508" spans="1:19" ht="35.25" hidden="1" customHeight="1">
      <c r="A508" s="24" t="s">
        <v>871</v>
      </c>
      <c r="B508" s="58" t="s">
        <v>2113</v>
      </c>
      <c r="C508" s="18"/>
      <c r="D508" s="56"/>
    </row>
    <row r="509" spans="1:19" ht="37.5" hidden="1" customHeight="1">
      <c r="A509" s="27" t="s">
        <v>873</v>
      </c>
      <c r="B509" s="27" t="s">
        <v>2114</v>
      </c>
      <c r="C509" s="28"/>
      <c r="D509" s="29"/>
    </row>
    <row r="510" spans="1:19" ht="35.25" hidden="1" customHeight="1">
      <c r="A510" s="24" t="s">
        <v>874</v>
      </c>
      <c r="B510" s="58" t="s">
        <v>2115</v>
      </c>
      <c r="C510" s="18"/>
      <c r="D510" s="56"/>
    </row>
    <row r="511" spans="1:19" ht="37.5" hidden="1" customHeight="1">
      <c r="A511" s="27" t="s">
        <v>875</v>
      </c>
      <c r="B511" s="27" t="s">
        <v>2116</v>
      </c>
      <c r="C511" s="28"/>
      <c r="D511" s="29"/>
    </row>
    <row r="512" spans="1:19" ht="35.25" hidden="1" customHeight="1">
      <c r="A512" s="24" t="s">
        <v>876</v>
      </c>
      <c r="B512" s="58" t="s">
        <v>2117</v>
      </c>
      <c r="C512" s="18"/>
      <c r="D512" s="56"/>
    </row>
    <row r="513" spans="1:4" ht="37.5" hidden="1" customHeight="1">
      <c r="A513" s="27" t="s">
        <v>877</v>
      </c>
      <c r="B513" s="27" t="s">
        <v>2118</v>
      </c>
      <c r="C513" s="28"/>
      <c r="D513" s="29"/>
    </row>
    <row r="514" spans="1:4" ht="35.25" hidden="1" customHeight="1">
      <c r="A514" s="24" t="s">
        <v>878</v>
      </c>
      <c r="B514" s="58" t="s">
        <v>2119</v>
      </c>
      <c r="C514" s="18"/>
      <c r="D514" s="56"/>
    </row>
    <row r="515" spans="1:4" ht="37.5" hidden="1" customHeight="1">
      <c r="A515" s="27" t="s">
        <v>879</v>
      </c>
      <c r="B515" s="27" t="s">
        <v>2120</v>
      </c>
      <c r="C515" s="28"/>
      <c r="D515" s="29"/>
    </row>
    <row r="516" spans="1:4" ht="35.25" hidden="1" customHeight="1">
      <c r="A516" s="24" t="s">
        <v>880</v>
      </c>
      <c r="B516" s="58" t="s">
        <v>2121</v>
      </c>
      <c r="C516" s="18"/>
      <c r="D516" s="56"/>
    </row>
    <row r="517" spans="1:4" ht="37.5" hidden="1" customHeight="1">
      <c r="A517" s="27" t="s">
        <v>881</v>
      </c>
      <c r="B517" s="27" t="s">
        <v>2122</v>
      </c>
      <c r="C517" s="28"/>
      <c r="D517" s="29"/>
    </row>
    <row r="518" spans="1:4" ht="35.25" hidden="1" customHeight="1">
      <c r="A518" s="24" t="s">
        <v>882</v>
      </c>
      <c r="B518" s="58" t="s">
        <v>2123</v>
      </c>
      <c r="C518" s="18"/>
      <c r="D518" s="56"/>
    </row>
    <row r="519" spans="1:4" ht="37.5" hidden="1" customHeight="1">
      <c r="A519" s="27" t="s">
        <v>883</v>
      </c>
      <c r="B519" s="27" t="s">
        <v>2124</v>
      </c>
      <c r="C519" s="28"/>
      <c r="D519" s="29"/>
    </row>
    <row r="520" spans="1:4" ht="35.25" hidden="1" customHeight="1">
      <c r="A520" s="24" t="s">
        <v>884</v>
      </c>
      <c r="B520" s="58" t="s">
        <v>2125</v>
      </c>
      <c r="C520" s="18"/>
      <c r="D520" s="56"/>
    </row>
    <row r="521" spans="1:4" ht="37.5" hidden="1" customHeight="1">
      <c r="A521" s="27" t="s">
        <v>885</v>
      </c>
      <c r="B521" s="27" t="s">
        <v>2126</v>
      </c>
      <c r="C521" s="28"/>
      <c r="D521" s="29"/>
    </row>
    <row r="522" spans="1:4" ht="35.25" hidden="1" customHeight="1">
      <c r="A522" s="24" t="s">
        <v>886</v>
      </c>
      <c r="B522" s="58" t="s">
        <v>2127</v>
      </c>
      <c r="C522" s="18"/>
      <c r="D522" s="56"/>
    </row>
    <row r="523" spans="1:4" ht="37.5" hidden="1" customHeight="1">
      <c r="A523" s="27" t="s">
        <v>887</v>
      </c>
      <c r="B523" s="27" t="s">
        <v>2128</v>
      </c>
      <c r="C523" s="28"/>
      <c r="D523" s="29"/>
    </row>
    <row r="524" spans="1:4" ht="35.25" hidden="1" customHeight="1">
      <c r="A524" s="24" t="s">
        <v>888</v>
      </c>
      <c r="B524" s="58" t="s">
        <v>2129</v>
      </c>
      <c r="C524" s="18"/>
      <c r="D524" s="56"/>
    </row>
    <row r="525" spans="1:4" ht="37.5" hidden="1" customHeight="1">
      <c r="A525" s="27" t="s">
        <v>889</v>
      </c>
      <c r="B525" s="27" t="s">
        <v>2130</v>
      </c>
      <c r="C525" s="28"/>
      <c r="D525" s="29"/>
    </row>
    <row r="526" spans="1:4" ht="35.25" hidden="1" customHeight="1">
      <c r="A526" s="24" t="s">
        <v>2131</v>
      </c>
      <c r="B526" s="58" t="s">
        <v>2132</v>
      </c>
      <c r="C526" s="18"/>
      <c r="D526" s="56"/>
    </row>
    <row r="527" spans="1:4" ht="37.5" hidden="1" customHeight="1">
      <c r="A527" s="27" t="s">
        <v>890</v>
      </c>
      <c r="B527" s="27" t="s">
        <v>2133</v>
      </c>
      <c r="C527" s="28"/>
      <c r="D527" s="29"/>
    </row>
    <row r="528" spans="1:4" ht="35.25" hidden="1" customHeight="1">
      <c r="A528" s="24" t="s">
        <v>891</v>
      </c>
      <c r="B528" s="58" t="s">
        <v>2134</v>
      </c>
      <c r="C528" s="18"/>
      <c r="D528" s="56"/>
    </row>
    <row r="529" spans="1:4" ht="37.5" hidden="1" customHeight="1">
      <c r="A529" s="27" t="s">
        <v>892</v>
      </c>
      <c r="B529" s="27" t="s">
        <v>2135</v>
      </c>
      <c r="C529" s="28"/>
      <c r="D529" s="29"/>
    </row>
    <row r="530" spans="1:4" ht="35.25" hidden="1" customHeight="1">
      <c r="A530" s="24" t="s">
        <v>893</v>
      </c>
      <c r="B530" s="58" t="s">
        <v>2136</v>
      </c>
      <c r="C530" s="18"/>
      <c r="D530" s="56"/>
    </row>
    <row r="531" spans="1:4" ht="74.25" customHeight="1">
      <c r="A531" s="27" t="s">
        <v>372</v>
      </c>
      <c r="B531" s="27" t="s">
        <v>2137</v>
      </c>
      <c r="C531" s="28" t="e">
        <f ca="1">image("https://www.serebii.net/Shiny/SWSH/526.png",4,100,100)</f>
        <v>#NAME?</v>
      </c>
      <c r="D531" s="29" t="s">
        <v>455</v>
      </c>
    </row>
    <row r="532" spans="1:4" ht="35.25" hidden="1" customHeight="1">
      <c r="A532" s="24" t="s">
        <v>894</v>
      </c>
      <c r="B532" s="58" t="s">
        <v>2138</v>
      </c>
      <c r="C532" s="18"/>
      <c r="D532" s="56"/>
    </row>
    <row r="533" spans="1:4" ht="37.5" hidden="1" customHeight="1">
      <c r="A533" s="27" t="s">
        <v>895</v>
      </c>
      <c r="B533" s="27" t="s">
        <v>2139</v>
      </c>
      <c r="C533" s="28"/>
      <c r="D533" s="29"/>
    </row>
    <row r="534" spans="1:4" ht="35.25" hidden="1" customHeight="1">
      <c r="A534" s="24" t="s">
        <v>896</v>
      </c>
      <c r="B534" s="58" t="s">
        <v>2140</v>
      </c>
      <c r="C534" s="18"/>
      <c r="D534" s="56"/>
    </row>
    <row r="535" spans="1:4" ht="60.75" customHeight="1">
      <c r="A535" s="27" t="s">
        <v>375</v>
      </c>
      <c r="B535" s="27" t="s">
        <v>2141</v>
      </c>
      <c r="C535" s="28" t="e">
        <f ca="1">image("https://www.serebii.net/Shiny/SWSH/530.png",4,100,100)</f>
        <v>#NAME?</v>
      </c>
      <c r="D535" s="49">
        <v>1516</v>
      </c>
    </row>
    <row r="536" spans="1:4" ht="35.25" hidden="1" customHeight="1">
      <c r="A536" s="24" t="s">
        <v>897</v>
      </c>
      <c r="B536" s="58" t="s">
        <v>2142</v>
      </c>
      <c r="C536" s="18"/>
      <c r="D536" s="56"/>
    </row>
    <row r="537" spans="1:4" ht="37.5" hidden="1" customHeight="1">
      <c r="A537" s="27" t="s">
        <v>898</v>
      </c>
      <c r="B537" s="27" t="s">
        <v>2143</v>
      </c>
      <c r="C537" s="28"/>
      <c r="D537" s="29"/>
    </row>
    <row r="538" spans="1:4" ht="66.75" hidden="1" customHeight="1">
      <c r="A538" s="24" t="s">
        <v>899</v>
      </c>
      <c r="B538" s="58" t="s">
        <v>2144</v>
      </c>
      <c r="C538" s="22"/>
      <c r="D538" s="30"/>
    </row>
    <row r="539" spans="1:4" ht="75.75" customHeight="1">
      <c r="A539" s="27" t="s">
        <v>378</v>
      </c>
      <c r="B539" s="27" t="s">
        <v>2145</v>
      </c>
      <c r="C539" s="28" t="e">
        <f ca="1">image("https://www.serebii.net/Shiny/SWSH/534.png",4,100,100)</f>
        <v>#NAME?</v>
      </c>
      <c r="D539" s="29" t="s">
        <v>455</v>
      </c>
    </row>
    <row r="540" spans="1:4" ht="35.25" hidden="1" customHeight="1">
      <c r="A540" s="24" t="s">
        <v>900</v>
      </c>
      <c r="B540" s="58" t="s">
        <v>2146</v>
      </c>
      <c r="C540" s="18"/>
      <c r="D540" s="56"/>
    </row>
    <row r="541" spans="1:4" ht="37.5" hidden="1" customHeight="1">
      <c r="A541" s="27" t="s">
        <v>901</v>
      </c>
      <c r="B541" s="27" t="s">
        <v>2147</v>
      </c>
      <c r="C541" s="28"/>
      <c r="D541" s="29"/>
    </row>
    <row r="542" spans="1:4" ht="35.25" hidden="1" customHeight="1">
      <c r="A542" s="24" t="s">
        <v>2148</v>
      </c>
      <c r="B542" s="58" t="s">
        <v>2149</v>
      </c>
      <c r="C542" s="18"/>
      <c r="D542" s="56"/>
    </row>
    <row r="543" spans="1:4" ht="37.5" hidden="1" customHeight="1">
      <c r="A543" s="27" t="s">
        <v>903</v>
      </c>
      <c r="B543" s="27" t="s">
        <v>2150</v>
      </c>
      <c r="C543" s="28"/>
      <c r="D543" s="29"/>
    </row>
    <row r="544" spans="1:4" ht="35.25" hidden="1" customHeight="1">
      <c r="A544" s="24" t="s">
        <v>904</v>
      </c>
      <c r="B544" s="58" t="s">
        <v>2151</v>
      </c>
      <c r="C544" s="59"/>
      <c r="D544" s="56"/>
    </row>
    <row r="545" spans="1:4" ht="37.5" hidden="1" customHeight="1">
      <c r="A545" s="27" t="s">
        <v>905</v>
      </c>
      <c r="B545" s="27" t="s">
        <v>2152</v>
      </c>
      <c r="C545" s="28"/>
      <c r="D545" s="29"/>
    </row>
    <row r="546" spans="1:4" ht="35.25" hidden="1" customHeight="1">
      <c r="A546" s="24" t="s">
        <v>906</v>
      </c>
      <c r="B546" s="58" t="s">
        <v>2153</v>
      </c>
      <c r="C546" s="18"/>
      <c r="D546" s="56"/>
    </row>
    <row r="547" spans="1:4" ht="37.5" hidden="1" customHeight="1">
      <c r="A547" s="27" t="s">
        <v>907</v>
      </c>
      <c r="B547" s="27" t="s">
        <v>2154</v>
      </c>
      <c r="C547" s="28"/>
      <c r="D547" s="29"/>
    </row>
    <row r="548" spans="1:4" ht="35.25" hidden="1" customHeight="1">
      <c r="A548" s="24" t="s">
        <v>908</v>
      </c>
      <c r="B548" s="58" t="s">
        <v>2155</v>
      </c>
      <c r="C548" s="18"/>
      <c r="D548" s="56"/>
    </row>
    <row r="549" spans="1:4" ht="37.5" hidden="1" customHeight="1">
      <c r="A549" s="27" t="s">
        <v>909</v>
      </c>
      <c r="B549" s="27" t="s">
        <v>2156</v>
      </c>
      <c r="C549" s="28"/>
      <c r="D549" s="29"/>
    </row>
    <row r="550" spans="1:4" ht="87.75" customHeight="1">
      <c r="A550" s="24" t="s">
        <v>381</v>
      </c>
      <c r="B550" s="58" t="s">
        <v>2157</v>
      </c>
      <c r="C550" s="18" t="e">
        <f ca="1">image("https://www.serebii.net/Shiny/SWSH/545.png",4,100,100)</f>
        <v>#NAME?</v>
      </c>
      <c r="D550" s="30" t="s">
        <v>455</v>
      </c>
    </row>
    <row r="551" spans="1:4" ht="37.5" hidden="1" customHeight="1">
      <c r="A551" s="27" t="s">
        <v>910</v>
      </c>
      <c r="B551" s="27" t="s">
        <v>2158</v>
      </c>
      <c r="C551" s="28"/>
      <c r="D551" s="29"/>
    </row>
    <row r="552" spans="1:4" ht="35.25" hidden="1" customHeight="1">
      <c r="A552" s="24" t="s">
        <v>911</v>
      </c>
      <c r="B552" s="58" t="s">
        <v>2159</v>
      </c>
      <c r="C552" s="18"/>
      <c r="D552" s="56"/>
    </row>
    <row r="553" spans="1:4" ht="37.5" hidden="1" customHeight="1">
      <c r="A553" s="27" t="s">
        <v>912</v>
      </c>
      <c r="B553" s="27" t="s">
        <v>2160</v>
      </c>
      <c r="C553" s="28"/>
      <c r="D553" s="29"/>
    </row>
    <row r="554" spans="1:4" ht="35.25" hidden="1" customHeight="1">
      <c r="A554" s="24" t="s">
        <v>913</v>
      </c>
      <c r="B554" s="58" t="s">
        <v>2161</v>
      </c>
      <c r="C554" s="18"/>
      <c r="D554" s="56"/>
    </row>
    <row r="555" spans="1:4" ht="59.25" customHeight="1">
      <c r="A555" s="27" t="s">
        <v>382</v>
      </c>
      <c r="B555" s="27" t="s">
        <v>2162</v>
      </c>
      <c r="C555" s="28" t="e">
        <f ca="1">image("https://www.serebii.net/Shiny/SWSH/550.png",4,100,100)</f>
        <v>#NAME?</v>
      </c>
      <c r="D555" s="29" t="s">
        <v>455</v>
      </c>
    </row>
    <row r="556" spans="1:4" ht="35.25" hidden="1" customHeight="1">
      <c r="A556" s="24" t="s">
        <v>918</v>
      </c>
      <c r="B556" s="58" t="s">
        <v>2163</v>
      </c>
      <c r="C556" s="18"/>
      <c r="D556" s="56"/>
    </row>
    <row r="557" spans="1:4" ht="37.5" hidden="1" customHeight="1">
      <c r="A557" s="27" t="s">
        <v>919</v>
      </c>
      <c r="B557" s="27" t="s">
        <v>2164</v>
      </c>
      <c r="C557" s="28"/>
      <c r="D557" s="29"/>
    </row>
    <row r="558" spans="1:4" ht="35.25" hidden="1" customHeight="1">
      <c r="A558" s="24" t="s">
        <v>920</v>
      </c>
      <c r="B558" s="58" t="s">
        <v>2165</v>
      </c>
      <c r="C558" s="18"/>
      <c r="D558" s="56"/>
    </row>
    <row r="559" spans="1:4" ht="37.5" hidden="1" customHeight="1">
      <c r="A559" s="27" t="s">
        <v>921</v>
      </c>
      <c r="B559" s="27" t="s">
        <v>2166</v>
      </c>
      <c r="C559" s="28"/>
      <c r="D559" s="29"/>
    </row>
    <row r="560" spans="1:4" ht="35.25" hidden="1" customHeight="1">
      <c r="A560" s="24" t="s">
        <v>923</v>
      </c>
      <c r="B560" s="58" t="s">
        <v>2167</v>
      </c>
      <c r="C560" s="18"/>
      <c r="D560" s="56"/>
    </row>
    <row r="561" spans="1:4" ht="37.5" hidden="1" customHeight="1">
      <c r="A561" s="27" t="s">
        <v>925</v>
      </c>
      <c r="B561" s="27" t="s">
        <v>2168</v>
      </c>
      <c r="C561" s="28"/>
      <c r="D561" s="29"/>
    </row>
    <row r="562" spans="1:4" ht="35.25" hidden="1" customHeight="1">
      <c r="A562" s="24" t="s">
        <v>926</v>
      </c>
      <c r="B562" s="58" t="s">
        <v>2169</v>
      </c>
      <c r="C562" s="18"/>
      <c r="D562" s="56"/>
    </row>
    <row r="563" spans="1:4" ht="75.75" customHeight="1">
      <c r="A563" s="27" t="s">
        <v>384</v>
      </c>
      <c r="B563" s="27" t="s">
        <v>2170</v>
      </c>
      <c r="C563" s="28" t="e">
        <f ca="1">image("https://www.serebii.net/Shiny/SWSH/558.png",4,100,100)</f>
        <v>#NAME?</v>
      </c>
      <c r="D563" s="29" t="s">
        <v>455</v>
      </c>
    </row>
    <row r="564" spans="1:4" ht="35.25" hidden="1" customHeight="1">
      <c r="A564" s="24" t="s">
        <v>927</v>
      </c>
      <c r="B564" s="58" t="s">
        <v>2171</v>
      </c>
      <c r="C564" s="18"/>
      <c r="D564" s="56"/>
    </row>
    <row r="565" spans="1:4" ht="37.5" hidden="1" customHeight="1">
      <c r="A565" s="27" t="s">
        <v>2172</v>
      </c>
      <c r="B565" s="27" t="s">
        <v>2173</v>
      </c>
      <c r="C565" s="28"/>
      <c r="D565" s="29"/>
    </row>
    <row r="566" spans="1:4" ht="78" customHeight="1">
      <c r="A566" s="24" t="s">
        <v>387</v>
      </c>
      <c r="B566" s="58" t="s">
        <v>2174</v>
      </c>
      <c r="C566" s="18" t="e">
        <f ca="1">image("https://www.serebii.net/Shiny/SWSH/561.png",4,100,100)</f>
        <v>#NAME?</v>
      </c>
      <c r="D566" s="19" t="s">
        <v>455</v>
      </c>
    </row>
    <row r="567" spans="1:4" ht="37.5" hidden="1" customHeight="1">
      <c r="A567" s="27" t="s">
        <v>929</v>
      </c>
      <c r="B567" s="27" t="s">
        <v>2175</v>
      </c>
      <c r="C567" s="28"/>
      <c r="D567" s="29"/>
    </row>
    <row r="568" spans="1:4" ht="35.25" hidden="1" customHeight="1">
      <c r="A568" s="24" t="s">
        <v>931</v>
      </c>
      <c r="B568" s="58" t="s">
        <v>2176</v>
      </c>
      <c r="C568" s="18"/>
      <c r="D568" s="56"/>
    </row>
    <row r="569" spans="1:4" ht="37.5" hidden="1" customHeight="1">
      <c r="A569" s="27" t="s">
        <v>932</v>
      </c>
      <c r="B569" s="27" t="s">
        <v>2177</v>
      </c>
      <c r="C569" s="28"/>
      <c r="D569" s="29"/>
    </row>
    <row r="570" spans="1:4" ht="35.25" hidden="1" customHeight="1">
      <c r="A570" s="24" t="s">
        <v>933</v>
      </c>
      <c r="B570" s="58" t="s">
        <v>2178</v>
      </c>
      <c r="C570" s="18"/>
      <c r="D570" s="56"/>
    </row>
    <row r="571" spans="1:4" ht="37.5" hidden="1" customHeight="1">
      <c r="A571" s="27" t="s">
        <v>934</v>
      </c>
      <c r="B571" s="27" t="s">
        <v>2179</v>
      </c>
      <c r="C571" s="28"/>
      <c r="D571" s="29"/>
    </row>
    <row r="572" spans="1:4" ht="35.25" hidden="1" customHeight="1">
      <c r="A572" s="24" t="s">
        <v>935</v>
      </c>
      <c r="B572" s="58" t="s">
        <v>2180</v>
      </c>
      <c r="C572" s="18"/>
      <c r="D572" s="56"/>
    </row>
    <row r="573" spans="1:4" ht="37.5" hidden="1" customHeight="1">
      <c r="A573" s="27" t="s">
        <v>936</v>
      </c>
      <c r="B573" s="27" t="s">
        <v>2181</v>
      </c>
      <c r="C573" s="28"/>
      <c r="D573" s="29"/>
    </row>
    <row r="574" spans="1:4" ht="35.25" hidden="1" customHeight="1">
      <c r="A574" s="24" t="s">
        <v>937</v>
      </c>
      <c r="B574" s="58" t="s">
        <v>2182</v>
      </c>
      <c r="C574" s="18"/>
      <c r="D574" s="56"/>
    </row>
    <row r="575" spans="1:4" ht="37.5" hidden="1" customHeight="1">
      <c r="A575" s="27" t="s">
        <v>938</v>
      </c>
      <c r="B575" s="27" t="s">
        <v>2183</v>
      </c>
      <c r="C575" s="28"/>
      <c r="D575" s="29"/>
    </row>
    <row r="576" spans="1:4" ht="35.25" hidden="1" customHeight="1">
      <c r="A576" s="24" t="s">
        <v>940</v>
      </c>
      <c r="B576" s="58" t="s">
        <v>2184</v>
      </c>
      <c r="C576" s="18"/>
      <c r="D576" s="56"/>
    </row>
    <row r="577" spans="1:4" ht="37.5" hidden="1" customHeight="1">
      <c r="A577" s="27" t="s">
        <v>942</v>
      </c>
      <c r="B577" s="27" t="s">
        <v>2185</v>
      </c>
      <c r="C577" s="28"/>
      <c r="D577" s="29"/>
    </row>
    <row r="578" spans="1:4" ht="35.25" hidden="1" customHeight="1">
      <c r="A578" s="24" t="s">
        <v>2186</v>
      </c>
      <c r="B578" s="58" t="s">
        <v>2187</v>
      </c>
      <c r="C578" s="18"/>
      <c r="D578" s="56"/>
    </row>
    <row r="579" spans="1:4" ht="37.5" hidden="1" customHeight="1">
      <c r="A579" s="27" t="s">
        <v>944</v>
      </c>
      <c r="B579" s="27" t="s">
        <v>2188</v>
      </c>
      <c r="C579" s="28"/>
      <c r="D579" s="29"/>
    </row>
    <row r="580" spans="1:4" ht="35.25" hidden="1" customHeight="1">
      <c r="A580" s="24" t="s">
        <v>945</v>
      </c>
      <c r="B580" s="58" t="s">
        <v>2189</v>
      </c>
      <c r="C580" s="18"/>
      <c r="D580" s="56"/>
    </row>
    <row r="581" spans="1:4" ht="37.5" hidden="1" customHeight="1">
      <c r="A581" s="27" t="s">
        <v>946</v>
      </c>
      <c r="B581" s="27" t="s">
        <v>2190</v>
      </c>
      <c r="C581" s="28"/>
      <c r="D581" s="29"/>
    </row>
    <row r="582" spans="1:4" ht="35.25" hidden="1" customHeight="1">
      <c r="A582" s="24" t="s">
        <v>947</v>
      </c>
      <c r="B582" s="58" t="s">
        <v>2191</v>
      </c>
      <c r="C582" s="18"/>
      <c r="D582" s="56"/>
    </row>
    <row r="583" spans="1:4" ht="37.5" hidden="1" customHeight="1">
      <c r="A583" s="27" t="s">
        <v>948</v>
      </c>
      <c r="B583" s="27" t="s">
        <v>2192</v>
      </c>
      <c r="C583" s="28"/>
      <c r="D583" s="29"/>
    </row>
    <row r="584" spans="1:4" ht="35.25" hidden="1" customHeight="1">
      <c r="A584" s="24" t="s">
        <v>949</v>
      </c>
      <c r="B584" s="58" t="s">
        <v>2193</v>
      </c>
      <c r="C584" s="18"/>
      <c r="D584" s="56"/>
    </row>
    <row r="585" spans="1:4" ht="37.5" hidden="1" customHeight="1">
      <c r="A585" s="27" t="s">
        <v>950</v>
      </c>
      <c r="B585" s="27" t="s">
        <v>2194</v>
      </c>
      <c r="C585" s="28"/>
      <c r="D585" s="29"/>
    </row>
    <row r="586" spans="1:4" ht="66" customHeight="1">
      <c r="A586" s="24" t="s">
        <v>388</v>
      </c>
      <c r="B586" s="58" t="s">
        <v>2195</v>
      </c>
      <c r="C586" s="18" t="e">
        <f ca="1">image("https://www.serebii.net/Shiny/SWSH/581.png",4,100,100)</f>
        <v>#NAME?</v>
      </c>
      <c r="D586" s="19">
        <v>266</v>
      </c>
    </row>
    <row r="587" spans="1:4" ht="37.5" hidden="1" customHeight="1">
      <c r="A587" s="27" t="s">
        <v>951</v>
      </c>
      <c r="B587" s="27" t="s">
        <v>2196</v>
      </c>
      <c r="C587" s="28"/>
      <c r="D587" s="29"/>
    </row>
    <row r="588" spans="1:4" ht="35.25" hidden="1" customHeight="1">
      <c r="A588" s="24" t="s">
        <v>952</v>
      </c>
      <c r="B588" s="58" t="s">
        <v>2197</v>
      </c>
      <c r="C588" s="18"/>
      <c r="D588" s="56"/>
    </row>
    <row r="589" spans="1:4" ht="37.5" hidden="1" customHeight="1">
      <c r="A589" s="27" t="s">
        <v>953</v>
      </c>
      <c r="B589" s="27" t="s">
        <v>2198</v>
      </c>
      <c r="C589" s="28"/>
      <c r="D589" s="29"/>
    </row>
    <row r="590" spans="1:4" ht="35.25" hidden="1" customHeight="1">
      <c r="A590" s="24" t="s">
        <v>2199</v>
      </c>
      <c r="B590" s="58" t="s">
        <v>2200</v>
      </c>
      <c r="C590" s="18"/>
      <c r="D590" s="56"/>
    </row>
    <row r="591" spans="1:4" ht="37.5" hidden="1" customHeight="1">
      <c r="A591" s="27" t="s">
        <v>2201</v>
      </c>
      <c r="B591" s="27" t="s">
        <v>2202</v>
      </c>
      <c r="C591" s="28"/>
      <c r="D591" s="29"/>
    </row>
    <row r="592" spans="1:4" ht="35.25" hidden="1" customHeight="1">
      <c r="A592" s="24" t="s">
        <v>962</v>
      </c>
      <c r="B592" s="58" t="s">
        <v>2203</v>
      </c>
      <c r="C592" s="18"/>
      <c r="D592" s="56"/>
    </row>
    <row r="593" spans="1:4" ht="37.5" hidden="1" customHeight="1">
      <c r="A593" s="27" t="s">
        <v>963</v>
      </c>
      <c r="B593" s="27" t="s">
        <v>2204</v>
      </c>
      <c r="C593" s="28"/>
      <c r="D593" s="29"/>
    </row>
    <row r="594" spans="1:4" ht="35.25" hidden="1" customHeight="1">
      <c r="A594" s="24" t="s">
        <v>2205</v>
      </c>
      <c r="B594" s="58" t="s">
        <v>2206</v>
      </c>
      <c r="C594" s="18"/>
      <c r="D594" s="56"/>
    </row>
    <row r="595" spans="1:4" ht="37.5" hidden="1" customHeight="1">
      <c r="A595" s="27" t="s">
        <v>965</v>
      </c>
      <c r="B595" s="27" t="s">
        <v>2207</v>
      </c>
      <c r="C595" s="28"/>
      <c r="D595" s="29"/>
    </row>
    <row r="596" spans="1:4" ht="68.25" customHeight="1">
      <c r="A596" s="24" t="s">
        <v>390</v>
      </c>
      <c r="B596" s="58" t="s">
        <v>2208</v>
      </c>
      <c r="C596" s="18" t="e">
        <f ca="1">image("https://www.serebii.net/Shiny/SWSH/591.png",4,100,100)</f>
        <v>#NAME?</v>
      </c>
      <c r="D596" s="30" t="s">
        <v>455</v>
      </c>
    </row>
    <row r="597" spans="1:4" ht="37.5" hidden="1" customHeight="1">
      <c r="A597" s="27" t="s">
        <v>2209</v>
      </c>
      <c r="B597" s="27" t="s">
        <v>2210</v>
      </c>
      <c r="C597" s="28"/>
      <c r="D597" s="29"/>
    </row>
    <row r="598" spans="1:4" ht="35.25" hidden="1" customHeight="1">
      <c r="A598" s="24" t="s">
        <v>2211</v>
      </c>
      <c r="B598" s="58" t="s">
        <v>2212</v>
      </c>
      <c r="C598" s="18"/>
      <c r="D598" s="56"/>
    </row>
    <row r="599" spans="1:4" ht="37.5" hidden="1" customHeight="1">
      <c r="A599" s="27" t="s">
        <v>967</v>
      </c>
      <c r="B599" s="27" t="s">
        <v>2213</v>
      </c>
      <c r="C599" s="28"/>
      <c r="D599" s="29"/>
    </row>
    <row r="600" spans="1:4" ht="35.25" hidden="1" customHeight="1">
      <c r="A600" s="24" t="s">
        <v>968</v>
      </c>
      <c r="B600" s="58" t="s">
        <v>2214</v>
      </c>
      <c r="C600" s="18"/>
      <c r="D600" s="56"/>
    </row>
    <row r="601" spans="1:4" ht="37.5" hidden="1" customHeight="1">
      <c r="A601" s="27" t="s">
        <v>969</v>
      </c>
      <c r="B601" s="27" t="s">
        <v>2215</v>
      </c>
      <c r="C601" s="28"/>
      <c r="D601" s="29"/>
    </row>
    <row r="602" spans="1:4" ht="35.25" hidden="1" customHeight="1">
      <c r="A602" s="24" t="s">
        <v>970</v>
      </c>
      <c r="B602" s="58" t="s">
        <v>2216</v>
      </c>
      <c r="C602" s="18"/>
      <c r="D602" s="56"/>
    </row>
    <row r="603" spans="1:4" ht="37.5" hidden="1" customHeight="1">
      <c r="A603" s="27" t="s">
        <v>971</v>
      </c>
      <c r="B603" s="27" t="s">
        <v>2217</v>
      </c>
      <c r="C603" s="28"/>
      <c r="D603" s="29"/>
    </row>
    <row r="604" spans="1:4" ht="35.25" hidden="1" customHeight="1">
      <c r="A604" s="24" t="s">
        <v>972</v>
      </c>
      <c r="B604" s="58" t="s">
        <v>2218</v>
      </c>
      <c r="C604" s="18"/>
      <c r="D604" s="56"/>
    </row>
    <row r="605" spans="1:4" ht="37.5" hidden="1" customHeight="1">
      <c r="A605" s="27" t="s">
        <v>973</v>
      </c>
      <c r="B605" s="27" t="s">
        <v>2219</v>
      </c>
      <c r="C605" s="28"/>
      <c r="D605" s="29"/>
    </row>
    <row r="606" spans="1:4" ht="35.25" hidden="1" customHeight="1">
      <c r="A606" s="24" t="s">
        <v>974</v>
      </c>
      <c r="B606" s="58" t="s">
        <v>2220</v>
      </c>
      <c r="C606" s="18"/>
      <c r="D606" s="56"/>
    </row>
    <row r="607" spans="1:4" ht="37.5" hidden="1" customHeight="1">
      <c r="A607" s="27" t="s">
        <v>975</v>
      </c>
      <c r="B607" s="27" t="s">
        <v>2221</v>
      </c>
      <c r="C607" s="28"/>
      <c r="D607" s="29"/>
    </row>
    <row r="608" spans="1:4" ht="35.25" hidden="1" customHeight="1">
      <c r="A608" s="24" t="s">
        <v>976</v>
      </c>
      <c r="B608" s="58" t="s">
        <v>2222</v>
      </c>
      <c r="C608" s="18"/>
      <c r="D608" s="56"/>
    </row>
    <row r="609" spans="1:4" ht="37.5" hidden="1" customHeight="1">
      <c r="A609" s="27" t="s">
        <v>977</v>
      </c>
      <c r="B609" s="27" t="s">
        <v>2223</v>
      </c>
      <c r="C609" s="28"/>
      <c r="D609" s="29"/>
    </row>
    <row r="610" spans="1:4" ht="35.25" hidden="1" customHeight="1">
      <c r="A610" s="24" t="s">
        <v>978</v>
      </c>
      <c r="B610" s="58" t="s">
        <v>2224</v>
      </c>
      <c r="C610" s="18"/>
      <c r="D610" s="56"/>
    </row>
    <row r="611" spans="1:4" ht="37.5" hidden="1" customHeight="1">
      <c r="A611" s="27" t="s">
        <v>979</v>
      </c>
      <c r="B611" s="27" t="s">
        <v>2225</v>
      </c>
      <c r="C611" s="28"/>
      <c r="D611" s="29"/>
    </row>
    <row r="612" spans="1:4" ht="35.25" hidden="1" customHeight="1">
      <c r="A612" s="24" t="s">
        <v>980</v>
      </c>
      <c r="B612" s="58" t="s">
        <v>2226</v>
      </c>
      <c r="C612" s="18"/>
      <c r="D612" s="56"/>
    </row>
    <row r="613" spans="1:4" ht="37.5" hidden="1" customHeight="1">
      <c r="A613" s="27" t="s">
        <v>981</v>
      </c>
      <c r="B613" s="27" t="s">
        <v>2227</v>
      </c>
      <c r="C613" s="28"/>
      <c r="D613" s="29"/>
    </row>
    <row r="614" spans="1:4" ht="80.25" customHeight="1">
      <c r="A614" s="24" t="s">
        <v>391</v>
      </c>
      <c r="B614" s="58" t="s">
        <v>2228</v>
      </c>
      <c r="C614" s="18" t="e">
        <f ca="1">image("https://www.serebii.net/Shiny/SWSH/609.png",4,100,100)</f>
        <v>#NAME?</v>
      </c>
      <c r="D614" s="19">
        <v>902</v>
      </c>
    </row>
    <row r="615" spans="1:4" ht="37.5" hidden="1" customHeight="1">
      <c r="A615" s="27" t="s">
        <v>982</v>
      </c>
      <c r="B615" s="27" t="s">
        <v>2229</v>
      </c>
      <c r="C615" s="28"/>
      <c r="D615" s="29"/>
    </row>
    <row r="616" spans="1:4" ht="35.25" hidden="1" customHeight="1">
      <c r="A616" s="24" t="s">
        <v>983</v>
      </c>
      <c r="B616" s="58" t="s">
        <v>2230</v>
      </c>
      <c r="C616" s="18"/>
      <c r="D616" s="56"/>
    </row>
    <row r="617" spans="1:4" ht="37.5" hidden="1" customHeight="1">
      <c r="A617" s="27" t="s">
        <v>984</v>
      </c>
      <c r="B617" s="27" t="s">
        <v>2231</v>
      </c>
      <c r="C617" s="28"/>
      <c r="D617" s="29"/>
    </row>
    <row r="618" spans="1:4" ht="35.25" hidden="1" customHeight="1">
      <c r="A618" s="24" t="s">
        <v>985</v>
      </c>
      <c r="B618" s="58" t="s">
        <v>2232</v>
      </c>
      <c r="C618" s="18"/>
      <c r="D618" s="56"/>
    </row>
    <row r="619" spans="1:4" ht="37.5" hidden="1" customHeight="1">
      <c r="A619" s="27" t="s">
        <v>986</v>
      </c>
      <c r="B619" s="27" t="s">
        <v>2233</v>
      </c>
      <c r="C619" s="28"/>
      <c r="D619" s="29"/>
    </row>
    <row r="620" spans="1:4" ht="35.25" hidden="1" customHeight="1">
      <c r="A620" s="24" t="s">
        <v>987</v>
      </c>
      <c r="B620" s="58" t="s">
        <v>2234</v>
      </c>
      <c r="C620" s="18"/>
      <c r="D620" s="56"/>
    </row>
    <row r="621" spans="1:4" ht="37.5" hidden="1" customHeight="1">
      <c r="A621" s="27" t="s">
        <v>988</v>
      </c>
      <c r="B621" s="27" t="s">
        <v>2235</v>
      </c>
      <c r="C621" s="28"/>
      <c r="D621" s="29"/>
    </row>
    <row r="622" spans="1:4" ht="35.25" hidden="1" customHeight="1">
      <c r="A622" s="24" t="s">
        <v>989</v>
      </c>
      <c r="B622" s="58" t="s">
        <v>2236</v>
      </c>
      <c r="C622" s="18"/>
      <c r="D622" s="56"/>
    </row>
    <row r="623" spans="1:4" ht="37.5" customHeight="1">
      <c r="A623" s="27" t="s">
        <v>393</v>
      </c>
      <c r="B623" s="27" t="s">
        <v>2237</v>
      </c>
      <c r="C623" s="28" t="e">
        <f ca="1">image("https://www.serebii.net/Shiny/SWSH/618.png",4,100,100)</f>
        <v>#NAME?</v>
      </c>
      <c r="D623" s="29" t="s">
        <v>455</v>
      </c>
    </row>
    <row r="624" spans="1:4" ht="35.25" hidden="1" customHeight="1">
      <c r="A624" s="24" t="s">
        <v>991</v>
      </c>
      <c r="B624" s="58" t="s">
        <v>2238</v>
      </c>
      <c r="C624" s="18"/>
      <c r="D624" s="56"/>
    </row>
    <row r="625" spans="1:19" ht="37.5" hidden="1" customHeight="1">
      <c r="A625" s="27" t="s">
        <v>992</v>
      </c>
      <c r="B625" s="27" t="s">
        <v>2239</v>
      </c>
      <c r="C625" s="28"/>
      <c r="D625" s="29"/>
    </row>
    <row r="626" spans="1:19" ht="66.75" customHeight="1">
      <c r="A626" s="24" t="s">
        <v>394</v>
      </c>
      <c r="B626" s="58" t="s">
        <v>2240</v>
      </c>
      <c r="C626" s="18" t="e">
        <f ca="1">image("https://www.serebii.net/Shiny/SWSH/621.png",4,100,100)</f>
        <v>#NAME?</v>
      </c>
      <c r="D626" s="30" t="s">
        <v>455</v>
      </c>
    </row>
    <row r="627" spans="1:19" ht="37.5" hidden="1" customHeight="1">
      <c r="A627" s="27" t="s">
        <v>993</v>
      </c>
      <c r="B627" s="27" t="s">
        <v>2241</v>
      </c>
      <c r="C627" s="28"/>
      <c r="D627" s="29"/>
    </row>
    <row r="628" spans="1:19" ht="79.5" customHeight="1">
      <c r="A628" s="24" t="s">
        <v>397</v>
      </c>
      <c r="B628" s="58" t="s">
        <v>2242</v>
      </c>
      <c r="C628" s="18" t="e">
        <f ca="1">image("https://www.serebii.net/Shiny/SWSH/623.png",4,100,100)</f>
        <v>#NAME?</v>
      </c>
      <c r="D628" s="30" t="s">
        <v>455</v>
      </c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</row>
    <row r="629" spans="1:19" ht="37.5" hidden="1" customHeight="1">
      <c r="A629" s="27" t="s">
        <v>994</v>
      </c>
      <c r="B629" s="27" t="s">
        <v>2243</v>
      </c>
      <c r="C629" s="28"/>
      <c r="D629" s="29"/>
    </row>
    <row r="630" spans="1:19" ht="35.25" hidden="1" customHeight="1">
      <c r="A630" s="24" t="s">
        <v>995</v>
      </c>
      <c r="B630" s="58" t="s">
        <v>2244</v>
      </c>
      <c r="C630" s="18"/>
      <c r="D630" s="56"/>
    </row>
    <row r="631" spans="1:19" ht="37.5" hidden="1" customHeight="1">
      <c r="A631" s="27" t="s">
        <v>996</v>
      </c>
      <c r="B631" s="27" t="s">
        <v>2245</v>
      </c>
      <c r="C631" s="28"/>
      <c r="D631" s="29"/>
    </row>
    <row r="632" spans="1:19" ht="35.25" hidden="1" customHeight="1">
      <c r="A632" s="24" t="s">
        <v>997</v>
      </c>
      <c r="B632" s="58" t="s">
        <v>2246</v>
      </c>
      <c r="C632" s="18"/>
      <c r="D632" s="56"/>
    </row>
    <row r="633" spans="1:19" ht="37.5" hidden="1" customHeight="1">
      <c r="A633" s="27" t="s">
        <v>998</v>
      </c>
      <c r="B633" s="27" t="s">
        <v>2247</v>
      </c>
      <c r="C633" s="28"/>
      <c r="D633" s="29"/>
    </row>
    <row r="634" spans="1:19" ht="35.25" hidden="1" customHeight="1">
      <c r="A634" s="24" t="s">
        <v>1000</v>
      </c>
      <c r="B634" s="58" t="s">
        <v>2248</v>
      </c>
      <c r="C634" s="18"/>
      <c r="D634" s="56"/>
    </row>
    <row r="635" spans="1:19" ht="37.5" hidden="1" customHeight="1">
      <c r="A635" s="27" t="s">
        <v>1001</v>
      </c>
      <c r="B635" s="27" t="s">
        <v>2249</v>
      </c>
      <c r="C635" s="28"/>
      <c r="D635" s="29"/>
    </row>
    <row r="636" spans="1:19" ht="72" customHeight="1">
      <c r="A636" s="24" t="s">
        <v>398</v>
      </c>
      <c r="B636" s="58" t="s">
        <v>2250</v>
      </c>
      <c r="C636" s="22" t="e">
        <f ca="1">image("https://www.serebii.net/Shiny/SWSH/631.png",4,100,100)</f>
        <v>#NAME?</v>
      </c>
      <c r="D636" s="30" t="s">
        <v>455</v>
      </c>
    </row>
    <row r="637" spans="1:19" ht="37.5" hidden="1" customHeight="1">
      <c r="A637" s="27" t="s">
        <v>1002</v>
      </c>
      <c r="B637" s="27" t="s">
        <v>2251</v>
      </c>
      <c r="C637" s="28"/>
      <c r="D637" s="29"/>
    </row>
    <row r="638" spans="1:19" ht="35.25" hidden="1" customHeight="1">
      <c r="A638" s="24" t="s">
        <v>1003</v>
      </c>
      <c r="B638" s="58" t="s">
        <v>2252</v>
      </c>
      <c r="C638" s="18"/>
      <c r="D638" s="56"/>
    </row>
    <row r="639" spans="1:19" ht="37.5" hidden="1" customHeight="1">
      <c r="A639" s="27" t="s">
        <v>1004</v>
      </c>
      <c r="B639" s="27" t="s">
        <v>2253</v>
      </c>
      <c r="C639" s="28"/>
      <c r="D639" s="29"/>
    </row>
    <row r="640" spans="1:19" ht="35.25" hidden="1" customHeight="1">
      <c r="A640" s="24" t="s">
        <v>1005</v>
      </c>
      <c r="B640" s="58" t="s">
        <v>2254</v>
      </c>
      <c r="C640" s="18"/>
      <c r="D640" s="56"/>
    </row>
    <row r="641" spans="1:4" ht="37.5" hidden="1" customHeight="1">
      <c r="A641" s="27" t="s">
        <v>1006</v>
      </c>
      <c r="B641" s="27" t="s">
        <v>2255</v>
      </c>
      <c r="C641" s="28"/>
      <c r="D641" s="29"/>
    </row>
    <row r="642" spans="1:4" ht="35.25" hidden="1" customHeight="1">
      <c r="A642" s="24" t="s">
        <v>1007</v>
      </c>
      <c r="B642" s="58" t="s">
        <v>2256</v>
      </c>
      <c r="C642" s="18"/>
      <c r="D642" s="56"/>
    </row>
    <row r="643" spans="1:4" ht="37.5" hidden="1" customHeight="1">
      <c r="A643" s="27" t="s">
        <v>1008</v>
      </c>
      <c r="B643" s="27" t="s">
        <v>2257</v>
      </c>
      <c r="C643" s="28"/>
      <c r="D643" s="29"/>
    </row>
    <row r="644" spans="1:4" ht="35.25" hidden="1" customHeight="1">
      <c r="A644" s="24" t="s">
        <v>1009</v>
      </c>
      <c r="B644" s="58" t="s">
        <v>2258</v>
      </c>
      <c r="C644" s="18"/>
      <c r="D644" s="56"/>
    </row>
    <row r="645" spans="1:4" ht="37.5" hidden="1" customHeight="1">
      <c r="A645" s="27" t="s">
        <v>2259</v>
      </c>
      <c r="B645" s="27" t="s">
        <v>2260</v>
      </c>
      <c r="C645" s="28"/>
      <c r="D645" s="29"/>
    </row>
    <row r="646" spans="1:4" ht="35.25" hidden="1" customHeight="1">
      <c r="A646" s="24" t="s">
        <v>2261</v>
      </c>
      <c r="B646" s="58" t="s">
        <v>2262</v>
      </c>
      <c r="C646" s="18"/>
      <c r="D646" s="56"/>
    </row>
    <row r="647" spans="1:4" ht="37.5" hidden="1" customHeight="1">
      <c r="A647" s="27" t="s">
        <v>2263</v>
      </c>
      <c r="B647" s="27" t="s">
        <v>2264</v>
      </c>
      <c r="C647" s="28"/>
      <c r="D647" s="29"/>
    </row>
    <row r="648" spans="1:4" ht="35.25" hidden="1" customHeight="1">
      <c r="A648" s="24" t="s">
        <v>2265</v>
      </c>
      <c r="B648" s="58" t="s">
        <v>2266</v>
      </c>
      <c r="C648" s="18"/>
      <c r="D648" s="56"/>
    </row>
    <row r="649" spans="1:4" ht="37.5" hidden="1" customHeight="1">
      <c r="A649" s="27" t="s">
        <v>1016</v>
      </c>
      <c r="B649" s="27" t="s">
        <v>2267</v>
      </c>
      <c r="C649" s="28"/>
      <c r="D649" s="29"/>
    </row>
    <row r="650" spans="1:4" ht="35.25" hidden="1" customHeight="1">
      <c r="A650" s="24" t="s">
        <v>1017</v>
      </c>
      <c r="B650" s="58" t="s">
        <v>2268</v>
      </c>
      <c r="C650" s="18"/>
      <c r="D650" s="56"/>
    </row>
    <row r="651" spans="1:4" ht="37.5" hidden="1" customHeight="1">
      <c r="A651" s="27" t="s">
        <v>1019</v>
      </c>
      <c r="B651" s="27" t="s">
        <v>2269</v>
      </c>
      <c r="C651" s="28"/>
      <c r="D651" s="29"/>
    </row>
    <row r="652" spans="1:4" ht="35.25" hidden="1" customHeight="1">
      <c r="A652" s="24" t="s">
        <v>2270</v>
      </c>
      <c r="B652" s="58" t="s">
        <v>2271</v>
      </c>
      <c r="C652" s="18"/>
      <c r="D652" s="56"/>
    </row>
    <row r="653" spans="1:4" ht="37.5" hidden="1" customHeight="1">
      <c r="A653" s="27" t="s">
        <v>2272</v>
      </c>
      <c r="B653" s="27" t="s">
        <v>2273</v>
      </c>
      <c r="C653" s="28"/>
      <c r="D653" s="29"/>
    </row>
    <row r="654" spans="1:4" ht="35.25" hidden="1" customHeight="1">
      <c r="A654" s="24" t="s">
        <v>1023</v>
      </c>
      <c r="B654" s="58" t="s">
        <v>2274</v>
      </c>
      <c r="C654" s="18"/>
      <c r="D654" s="56"/>
    </row>
    <row r="655" spans="1:4" ht="37.5" hidden="1" customHeight="1">
      <c r="A655" s="27" t="s">
        <v>1026</v>
      </c>
      <c r="B655" s="27" t="s">
        <v>2275</v>
      </c>
      <c r="C655" s="28"/>
      <c r="D655" s="29"/>
    </row>
    <row r="656" spans="1:4" ht="35.25" hidden="1" customHeight="1">
      <c r="A656" s="24" t="s">
        <v>1027</v>
      </c>
      <c r="B656" s="58" t="s">
        <v>2276</v>
      </c>
      <c r="C656" s="18"/>
      <c r="D656" s="56"/>
    </row>
    <row r="657" spans="1:4" ht="37.5" hidden="1" customHeight="1">
      <c r="A657" s="27" t="s">
        <v>1028</v>
      </c>
      <c r="B657" s="27" t="s">
        <v>2277</v>
      </c>
      <c r="C657" s="28"/>
      <c r="D657" s="29"/>
    </row>
    <row r="658" spans="1:4" ht="35.25" hidden="1" customHeight="1">
      <c r="A658" s="24" t="s">
        <v>1029</v>
      </c>
      <c r="B658" s="58" t="s">
        <v>2278</v>
      </c>
      <c r="C658" s="18"/>
      <c r="D658" s="56"/>
    </row>
    <row r="659" spans="1:4" ht="37.5" hidden="1" customHeight="1">
      <c r="A659" s="27" t="s">
        <v>1030</v>
      </c>
      <c r="B659" s="27" t="s">
        <v>2279</v>
      </c>
      <c r="C659" s="28"/>
      <c r="D659" s="29"/>
    </row>
    <row r="660" spans="1:4" ht="35.25" hidden="1" customHeight="1">
      <c r="A660" s="24" t="s">
        <v>1031</v>
      </c>
      <c r="B660" s="58" t="s">
        <v>2280</v>
      </c>
      <c r="C660" s="18"/>
      <c r="D660" s="56"/>
    </row>
    <row r="661" spans="1:4" ht="37.5" hidden="1" customHeight="1">
      <c r="A661" s="27" t="s">
        <v>1032</v>
      </c>
      <c r="B661" s="27" t="s">
        <v>2281</v>
      </c>
      <c r="C661" s="28"/>
      <c r="D661" s="29"/>
    </row>
    <row r="662" spans="1:4" ht="35.25" hidden="1" customHeight="1">
      <c r="A662" s="24" t="s">
        <v>1033</v>
      </c>
      <c r="B662" s="58" t="s">
        <v>2282</v>
      </c>
      <c r="C662" s="18"/>
      <c r="D662" s="56"/>
    </row>
    <row r="663" spans="1:4" ht="37.5" hidden="1" customHeight="1">
      <c r="A663" s="27" t="s">
        <v>1034</v>
      </c>
      <c r="B663" s="27" t="s">
        <v>2283</v>
      </c>
      <c r="C663" s="28"/>
      <c r="D663" s="29"/>
    </row>
    <row r="664" spans="1:4" ht="35.25" hidden="1" customHeight="1">
      <c r="A664" s="24" t="s">
        <v>1036</v>
      </c>
      <c r="B664" s="58" t="s">
        <v>2284</v>
      </c>
      <c r="C664" s="18"/>
      <c r="D664" s="56"/>
    </row>
    <row r="665" spans="1:4" ht="37.5" hidden="1" customHeight="1">
      <c r="A665" s="27" t="s">
        <v>1037</v>
      </c>
      <c r="B665" s="27" t="s">
        <v>2285</v>
      </c>
      <c r="C665" s="28"/>
      <c r="D665" s="29"/>
    </row>
    <row r="666" spans="1:4" ht="60" customHeight="1">
      <c r="A666" s="24" t="s">
        <v>400</v>
      </c>
      <c r="B666" s="58" t="s">
        <v>2286</v>
      </c>
      <c r="C666" s="22" t="e">
        <f ca="1">image("https://www.serebii.net/Shiny/SWSH/661.png",4,100,100)</f>
        <v>#NAME?</v>
      </c>
      <c r="D666" s="30" t="s">
        <v>455</v>
      </c>
    </row>
    <row r="667" spans="1:4" ht="69.75" customHeight="1">
      <c r="A667" s="27" t="s">
        <v>401</v>
      </c>
      <c r="B667" s="27" t="s">
        <v>2287</v>
      </c>
      <c r="C667" s="28" t="e">
        <f ca="1">image("https://www.serebii.net/Shiny/SWSH/662.png",4,100,100)</f>
        <v>#NAME?</v>
      </c>
      <c r="D667" s="29" t="s">
        <v>455</v>
      </c>
    </row>
    <row r="668" spans="1:4" ht="51.75" customHeight="1">
      <c r="A668" s="24" t="s">
        <v>402</v>
      </c>
      <c r="B668" s="58" t="s">
        <v>2288</v>
      </c>
      <c r="C668" s="22" t="e">
        <f ca="1">image("https://www.serebii.net/Shiny/SWSH/663.png",4,100,100)</f>
        <v>#NAME?</v>
      </c>
      <c r="D668" s="30" t="s">
        <v>455</v>
      </c>
    </row>
    <row r="669" spans="1:4" ht="37.5" hidden="1" customHeight="1">
      <c r="A669" s="27" t="s">
        <v>1038</v>
      </c>
      <c r="B669" s="27" t="s">
        <v>2289</v>
      </c>
      <c r="C669" s="28"/>
      <c r="D669" s="29"/>
    </row>
    <row r="670" spans="1:4" ht="35.25" hidden="1" customHeight="1">
      <c r="A670" s="24" t="s">
        <v>1039</v>
      </c>
      <c r="B670" s="58" t="s">
        <v>2290</v>
      </c>
      <c r="C670" s="18"/>
      <c r="D670" s="56"/>
    </row>
    <row r="671" spans="1:4" ht="37.5" hidden="1" customHeight="1">
      <c r="A671" s="27" t="s">
        <v>2291</v>
      </c>
      <c r="B671" s="27" t="s">
        <v>2292</v>
      </c>
      <c r="C671" s="28"/>
      <c r="D671" s="29"/>
    </row>
    <row r="672" spans="1:4" ht="35.25" hidden="1" customHeight="1">
      <c r="A672" s="24" t="s">
        <v>1060</v>
      </c>
      <c r="B672" s="58" t="s">
        <v>2293</v>
      </c>
      <c r="C672" s="18"/>
      <c r="D672" s="56"/>
    </row>
    <row r="673" spans="1:4" ht="37.5" hidden="1" customHeight="1">
      <c r="A673" s="27" t="s">
        <v>2294</v>
      </c>
      <c r="B673" s="27" t="s">
        <v>2295</v>
      </c>
      <c r="C673" s="28"/>
      <c r="D673" s="29"/>
    </row>
    <row r="674" spans="1:4" ht="35.25" hidden="1" customHeight="1">
      <c r="A674" s="24" t="s">
        <v>2296</v>
      </c>
      <c r="B674" s="58" t="s">
        <v>2297</v>
      </c>
      <c r="C674" s="18"/>
      <c r="D674" s="56"/>
    </row>
    <row r="675" spans="1:4" ht="37.5" hidden="1" customHeight="1">
      <c r="A675" s="27" t="s">
        <v>2298</v>
      </c>
      <c r="B675" s="27" t="s">
        <v>2299</v>
      </c>
      <c r="C675" s="28"/>
      <c r="D675" s="29"/>
    </row>
    <row r="676" spans="1:4" ht="35.25" hidden="1" customHeight="1">
      <c r="A676" s="24" t="s">
        <v>2300</v>
      </c>
      <c r="B676" s="58" t="s">
        <v>2301</v>
      </c>
      <c r="C676" s="18"/>
      <c r="D676" s="56"/>
    </row>
    <row r="677" spans="1:4" ht="37.5" hidden="1" customHeight="1">
      <c r="A677" s="27" t="s">
        <v>1077</v>
      </c>
      <c r="B677" s="27" t="s">
        <v>2302</v>
      </c>
      <c r="C677" s="28"/>
      <c r="D677" s="29"/>
    </row>
    <row r="678" spans="1:4" ht="55.5" customHeight="1">
      <c r="A678" s="24" t="s">
        <v>403</v>
      </c>
      <c r="B678" s="58" t="s">
        <v>2303</v>
      </c>
      <c r="C678" s="22" t="e">
        <f ca="1">image("https://www.serebii.net/Shiny/SWSH/673.png",4,100,100)</f>
        <v>#NAME?</v>
      </c>
      <c r="D678" s="19">
        <v>284</v>
      </c>
    </row>
    <row r="679" spans="1:4" ht="37.5" hidden="1" customHeight="1">
      <c r="A679" s="27" t="s">
        <v>1078</v>
      </c>
      <c r="B679" s="27" t="s">
        <v>2304</v>
      </c>
      <c r="C679" s="28"/>
      <c r="D679" s="29"/>
    </row>
    <row r="680" spans="1:4" ht="35.25" hidden="1" customHeight="1">
      <c r="A680" s="24" t="s">
        <v>1079</v>
      </c>
      <c r="B680" s="58" t="s">
        <v>2305</v>
      </c>
      <c r="C680" s="18"/>
      <c r="D680" s="56"/>
    </row>
    <row r="681" spans="1:4" ht="37.5" hidden="1" customHeight="1">
      <c r="A681" s="27" t="s">
        <v>2306</v>
      </c>
      <c r="B681" s="27" t="s">
        <v>2307</v>
      </c>
      <c r="C681" s="28"/>
      <c r="D681" s="29"/>
    </row>
    <row r="682" spans="1:4" ht="35.25" hidden="1" customHeight="1">
      <c r="A682" s="24" t="s">
        <v>1090</v>
      </c>
      <c r="B682" s="58" t="s">
        <v>2308</v>
      </c>
      <c r="C682" s="18"/>
      <c r="D682" s="56"/>
    </row>
    <row r="683" spans="1:4" ht="37.5" hidden="1" customHeight="1">
      <c r="A683" s="27" t="s">
        <v>2309</v>
      </c>
      <c r="B683" s="27" t="s">
        <v>2310</v>
      </c>
      <c r="C683" s="28"/>
      <c r="D683" s="29"/>
    </row>
    <row r="684" spans="1:4" ht="35.25" hidden="1" customHeight="1">
      <c r="A684" s="24" t="s">
        <v>1092</v>
      </c>
      <c r="B684" s="58" t="s">
        <v>2311</v>
      </c>
      <c r="C684" s="18"/>
      <c r="D684" s="56"/>
    </row>
    <row r="685" spans="1:4" ht="37.5" hidden="1" customHeight="1">
      <c r="A685" s="27" t="s">
        <v>1093</v>
      </c>
      <c r="B685" s="27" t="s">
        <v>2312</v>
      </c>
      <c r="C685" s="28"/>
      <c r="D685" s="29"/>
    </row>
    <row r="686" spans="1:4" ht="35.25" hidden="1" customHeight="1">
      <c r="A686" s="24" t="s">
        <v>1094</v>
      </c>
      <c r="B686" s="58" t="s">
        <v>2313</v>
      </c>
      <c r="C686" s="18"/>
      <c r="D686" s="56"/>
    </row>
    <row r="687" spans="1:4" ht="37.5" hidden="1" customHeight="1">
      <c r="A687" s="27" t="s">
        <v>1095</v>
      </c>
      <c r="B687" s="27" t="s">
        <v>2314</v>
      </c>
      <c r="C687" s="28"/>
      <c r="D687" s="29"/>
    </row>
    <row r="688" spans="1:4" ht="35.25" hidden="1" customHeight="1">
      <c r="A688" s="24" t="s">
        <v>1096</v>
      </c>
      <c r="B688" s="58" t="s">
        <v>2315</v>
      </c>
      <c r="C688" s="18"/>
      <c r="D688" s="56"/>
    </row>
    <row r="689" spans="1:5" ht="37.5" hidden="1" customHeight="1">
      <c r="A689" s="27" t="s">
        <v>1097</v>
      </c>
      <c r="B689" s="27" t="s">
        <v>2316</v>
      </c>
      <c r="C689" s="28"/>
      <c r="D689" s="29"/>
    </row>
    <row r="690" spans="1:5" ht="35.25" hidden="1" customHeight="1">
      <c r="A690" s="24" t="s">
        <v>1098</v>
      </c>
      <c r="B690" s="58" t="s">
        <v>2317</v>
      </c>
      <c r="C690" s="18"/>
      <c r="D690" s="56"/>
    </row>
    <row r="691" spans="1:5" ht="37.5" hidden="1" customHeight="1">
      <c r="A691" s="27" t="s">
        <v>1099</v>
      </c>
      <c r="B691" s="27" t="s">
        <v>2318</v>
      </c>
      <c r="C691" s="28"/>
      <c r="D691" s="29"/>
    </row>
    <row r="692" spans="1:5" ht="35.25" hidden="1" customHeight="1">
      <c r="A692" s="24" t="s">
        <v>1100</v>
      </c>
      <c r="B692" s="58" t="s">
        <v>2319</v>
      </c>
      <c r="C692" s="18"/>
      <c r="D692" s="56"/>
    </row>
    <row r="693" spans="1:5" ht="37.5" hidden="1" customHeight="1">
      <c r="A693" s="27" t="s">
        <v>1101</v>
      </c>
      <c r="B693" s="27" t="s">
        <v>2320</v>
      </c>
      <c r="C693" s="28"/>
      <c r="D693" s="29"/>
    </row>
    <row r="694" spans="1:5" ht="35.25" hidden="1" customHeight="1">
      <c r="A694" s="24" t="s">
        <v>1102</v>
      </c>
      <c r="B694" s="58" t="s">
        <v>2321</v>
      </c>
      <c r="C694" s="18"/>
      <c r="D694" s="56"/>
    </row>
    <row r="695" spans="1:5" ht="59.25" customHeight="1">
      <c r="A695" s="27" t="s">
        <v>405</v>
      </c>
      <c r="B695" s="27" t="s">
        <v>2322</v>
      </c>
      <c r="C695" s="28" t="e">
        <f ca="1">image("https://www.serebii.net/Shiny/SWSH/690.png",4,100,100)</f>
        <v>#NAME?</v>
      </c>
      <c r="D695" s="29" t="s">
        <v>455</v>
      </c>
      <c r="E695" s="46" t="s">
        <v>406</v>
      </c>
    </row>
    <row r="696" spans="1:5" ht="35.25" hidden="1" customHeight="1">
      <c r="A696" s="24" t="s">
        <v>1103</v>
      </c>
      <c r="B696" s="58" t="s">
        <v>2323</v>
      </c>
      <c r="C696" s="18"/>
      <c r="D696" s="56"/>
    </row>
    <row r="697" spans="1:5" ht="37.5" hidden="1" customHeight="1">
      <c r="A697" s="27" t="s">
        <v>1104</v>
      </c>
      <c r="B697" s="27" t="s">
        <v>2324</v>
      </c>
      <c r="C697" s="28"/>
      <c r="D697" s="29"/>
    </row>
    <row r="698" spans="1:5" ht="35.25" hidden="1" customHeight="1">
      <c r="A698" s="24" t="s">
        <v>1105</v>
      </c>
      <c r="B698" s="58" t="s">
        <v>2325</v>
      </c>
      <c r="C698" s="18"/>
      <c r="D698" s="56"/>
    </row>
    <row r="699" spans="1:5" ht="37.5" hidden="1" customHeight="1">
      <c r="A699" s="27" t="s">
        <v>1106</v>
      </c>
      <c r="B699" s="27" t="s">
        <v>2326</v>
      </c>
      <c r="C699" s="28"/>
      <c r="D699" s="29"/>
    </row>
    <row r="700" spans="1:5" ht="85.5" customHeight="1">
      <c r="A700" s="24" t="s">
        <v>408</v>
      </c>
      <c r="B700" s="58" t="s">
        <v>2327</v>
      </c>
      <c r="C700" s="18" t="e">
        <f ca="1">image("https://www.serebii.net/Shiny/SWSH/695.png",4,100,100)</f>
        <v>#NAME?</v>
      </c>
      <c r="D700" s="30" t="s">
        <v>455</v>
      </c>
    </row>
    <row r="701" spans="1:5" ht="37.5" hidden="1" customHeight="1">
      <c r="A701" s="27" t="s">
        <v>1107</v>
      </c>
      <c r="B701" s="27" t="s">
        <v>2328</v>
      </c>
      <c r="C701" s="28"/>
      <c r="D701" s="29"/>
    </row>
    <row r="702" spans="1:5" ht="35.25" hidden="1" customHeight="1">
      <c r="A702" s="24" t="s">
        <v>1108</v>
      </c>
      <c r="B702" s="58" t="s">
        <v>2329</v>
      </c>
      <c r="C702" s="18"/>
      <c r="D702" s="56"/>
    </row>
    <row r="703" spans="1:5" ht="37.5" hidden="1" customHeight="1">
      <c r="A703" s="27" t="s">
        <v>1109</v>
      </c>
      <c r="B703" s="27" t="s">
        <v>2330</v>
      </c>
      <c r="C703" s="28"/>
      <c r="D703" s="29"/>
    </row>
    <row r="704" spans="1:5" ht="35.25" hidden="1" customHeight="1">
      <c r="A704" s="24" t="s">
        <v>1110</v>
      </c>
      <c r="B704" s="58" t="s">
        <v>2331</v>
      </c>
      <c r="C704" s="18"/>
      <c r="D704" s="56"/>
    </row>
    <row r="705" spans="1:4" ht="37.5" hidden="1" customHeight="1">
      <c r="A705" s="27" t="s">
        <v>1111</v>
      </c>
      <c r="B705" s="27" t="s">
        <v>2332</v>
      </c>
      <c r="C705" s="28"/>
      <c r="D705" s="29"/>
    </row>
    <row r="706" spans="1:4" ht="64.5" customHeight="1">
      <c r="A706" s="24" t="s">
        <v>410</v>
      </c>
      <c r="B706" s="58" t="s">
        <v>2333</v>
      </c>
      <c r="C706" s="18" t="e">
        <f ca="1">image("https://www.serebii.net/Shiny/SWSH/701.png",4,100,100)</f>
        <v>#NAME?</v>
      </c>
      <c r="D706" s="30" t="s">
        <v>455</v>
      </c>
    </row>
    <row r="707" spans="1:4" ht="48" customHeight="1">
      <c r="A707" s="27" t="s">
        <v>413</v>
      </c>
      <c r="B707" s="27" t="s">
        <v>2334</v>
      </c>
      <c r="C707" s="28" t="e">
        <f ca="1">image("https://www.serebii.net/Shiny/SWSH/702.png",4,100,100)</f>
        <v>#NAME?</v>
      </c>
      <c r="D707" s="49">
        <v>7</v>
      </c>
    </row>
    <row r="708" spans="1:4" ht="35.25" hidden="1" customHeight="1">
      <c r="A708" s="24" t="s">
        <v>1112</v>
      </c>
      <c r="B708" s="58" t="s">
        <v>2335</v>
      </c>
      <c r="C708" s="18"/>
      <c r="D708" s="56"/>
    </row>
    <row r="709" spans="1:4" ht="37.5" hidden="1" customHeight="1">
      <c r="A709" s="27" t="s">
        <v>1113</v>
      </c>
      <c r="B709" s="27" t="s">
        <v>2336</v>
      </c>
      <c r="C709" s="28"/>
      <c r="D709" s="29"/>
    </row>
    <row r="710" spans="1:4" ht="35.25" hidden="1" customHeight="1">
      <c r="A710" s="24" t="s">
        <v>1114</v>
      </c>
      <c r="B710" s="58" t="s">
        <v>2337</v>
      </c>
      <c r="C710" s="18"/>
      <c r="D710" s="56"/>
    </row>
    <row r="711" spans="1:4" ht="37.5" hidden="1" customHeight="1">
      <c r="A711" s="27" t="s">
        <v>1116</v>
      </c>
      <c r="B711" s="27" t="s">
        <v>2338</v>
      </c>
      <c r="C711" s="28"/>
      <c r="D711" s="29"/>
    </row>
    <row r="712" spans="1:4" ht="35.25" hidden="1" customHeight="1">
      <c r="A712" s="24" t="s">
        <v>1118</v>
      </c>
      <c r="B712" s="58" t="s">
        <v>2339</v>
      </c>
      <c r="C712" s="18"/>
      <c r="D712" s="56"/>
    </row>
    <row r="713" spans="1:4" ht="59.25" customHeight="1">
      <c r="A713" s="27" t="s">
        <v>415</v>
      </c>
      <c r="B713" s="27" t="s">
        <v>2340</v>
      </c>
      <c r="C713" s="28" t="e">
        <f ca="1">image("https://www.serebii.net/Shiny/SWSH/708.png",4,100,100)</f>
        <v>#NAME?</v>
      </c>
      <c r="D713" s="49">
        <v>620</v>
      </c>
    </row>
    <row r="714" spans="1:4" ht="35.25" hidden="1" customHeight="1">
      <c r="A714" s="24" t="s">
        <v>1119</v>
      </c>
      <c r="B714" s="58" t="s">
        <v>2341</v>
      </c>
      <c r="C714" s="18"/>
      <c r="D714" s="56"/>
    </row>
    <row r="715" spans="1:4" ht="37.5" hidden="1" customHeight="1">
      <c r="A715" s="27" t="s">
        <v>2342</v>
      </c>
      <c r="B715" s="27" t="s">
        <v>2343</v>
      </c>
      <c r="C715" s="28"/>
      <c r="D715" s="29"/>
    </row>
    <row r="716" spans="1:4" ht="35.25" hidden="1" customHeight="1">
      <c r="A716" s="24" t="s">
        <v>2344</v>
      </c>
      <c r="B716" s="58" t="s">
        <v>2345</v>
      </c>
      <c r="C716" s="18"/>
      <c r="D716" s="56"/>
    </row>
    <row r="717" spans="1:4" ht="37.5" hidden="1" customHeight="1">
      <c r="A717" s="27" t="s">
        <v>1128</v>
      </c>
      <c r="B717" s="27" t="s">
        <v>2346</v>
      </c>
      <c r="C717" s="28"/>
      <c r="D717" s="29"/>
    </row>
    <row r="718" spans="1:4" ht="57" customHeight="1">
      <c r="A718" s="24" t="s">
        <v>417</v>
      </c>
      <c r="B718" s="58" t="s">
        <v>2347</v>
      </c>
      <c r="C718" s="22" t="e">
        <f ca="1">image("https://www.serebii.net/Shiny/SWSH/713.png",4,100,100)</f>
        <v>#NAME?</v>
      </c>
      <c r="D718" s="19">
        <v>123</v>
      </c>
    </row>
    <row r="719" spans="1:4" ht="79.5" customHeight="1">
      <c r="A719" s="27" t="s">
        <v>419</v>
      </c>
      <c r="B719" s="27" t="s">
        <v>2348</v>
      </c>
      <c r="C719" s="28" t="e">
        <f ca="1">image("https://www.serebii.net/Shiny/SWSH/714.png",4,100,100)</f>
        <v>#NAME?</v>
      </c>
      <c r="D719" s="49">
        <v>1014</v>
      </c>
    </row>
    <row r="720" spans="1:4" ht="35.25" hidden="1" customHeight="1">
      <c r="A720" s="24" t="s">
        <v>1130</v>
      </c>
      <c r="B720" s="58" t="s">
        <v>2349</v>
      </c>
      <c r="C720" s="18"/>
      <c r="D720" s="56"/>
    </row>
    <row r="721" spans="1:4" ht="37.5" hidden="1" customHeight="1">
      <c r="A721" s="27" t="s">
        <v>2350</v>
      </c>
      <c r="B721" s="27" t="s">
        <v>2351</v>
      </c>
      <c r="C721" s="28"/>
      <c r="D721" s="29"/>
    </row>
    <row r="722" spans="1:4" ht="57.75" customHeight="1">
      <c r="A722" s="24" t="s">
        <v>421</v>
      </c>
      <c r="B722" s="58" t="s">
        <v>2352</v>
      </c>
      <c r="C722" s="18" t="e">
        <f ca="1">image("https://www.serebii.net/Shiny/SWSH/717.png",4,100,100)</f>
        <v>#NAME?</v>
      </c>
      <c r="D722" s="30" t="s">
        <v>455</v>
      </c>
    </row>
    <row r="723" spans="1:4" ht="37.5" hidden="1" customHeight="1">
      <c r="A723" s="27" t="s">
        <v>2353</v>
      </c>
      <c r="B723" s="27" t="s">
        <v>2354</v>
      </c>
      <c r="C723" s="28"/>
      <c r="D723" s="29"/>
    </row>
    <row r="724" spans="1:4" ht="35.25" hidden="1" customHeight="1">
      <c r="A724" s="24" t="s">
        <v>1135</v>
      </c>
      <c r="B724" s="58" t="s">
        <v>2355</v>
      </c>
      <c r="C724" s="18"/>
      <c r="D724" s="56"/>
    </row>
    <row r="725" spans="1:4" ht="37.5" hidden="1" customHeight="1">
      <c r="A725" s="27" t="s">
        <v>2356</v>
      </c>
      <c r="B725" s="27" t="s">
        <v>2357</v>
      </c>
      <c r="C725" s="28"/>
      <c r="D725" s="29"/>
    </row>
    <row r="726" spans="1:4" ht="35.25" hidden="1" customHeight="1">
      <c r="A726" s="24" t="s">
        <v>1138</v>
      </c>
      <c r="B726" s="58" t="s">
        <v>2358</v>
      </c>
      <c r="C726" s="18"/>
      <c r="D726" s="56"/>
    </row>
    <row r="727" spans="1:4" ht="37.5" hidden="1" customHeight="1">
      <c r="A727" s="27" t="s">
        <v>1141</v>
      </c>
      <c r="B727" s="27" t="s">
        <v>2359</v>
      </c>
      <c r="C727" s="28"/>
      <c r="D727" s="29"/>
    </row>
    <row r="728" spans="1:4" ht="35.25" hidden="1" customHeight="1">
      <c r="A728" s="24" t="s">
        <v>1142</v>
      </c>
      <c r="B728" s="58" t="s">
        <v>2360</v>
      </c>
      <c r="C728" s="18"/>
      <c r="D728" s="56"/>
    </row>
    <row r="729" spans="1:4" ht="37.5" hidden="1" customHeight="1">
      <c r="A729" s="27" t="s">
        <v>1143</v>
      </c>
      <c r="B729" s="27" t="s">
        <v>2361</v>
      </c>
      <c r="C729" s="28"/>
      <c r="D729" s="29"/>
    </row>
    <row r="730" spans="1:4" ht="35.25" hidden="1" customHeight="1">
      <c r="A730" s="24" t="s">
        <v>1145</v>
      </c>
      <c r="B730" s="58" t="s">
        <v>2362</v>
      </c>
      <c r="C730" s="18"/>
      <c r="D730" s="56"/>
    </row>
    <row r="731" spans="1:4" ht="37.5" hidden="1" customHeight="1">
      <c r="A731" s="27" t="s">
        <v>1146</v>
      </c>
      <c r="B731" s="27" t="s">
        <v>2363</v>
      </c>
      <c r="C731" s="28"/>
      <c r="D731" s="29"/>
    </row>
    <row r="732" spans="1:4" ht="35.25" hidden="1" customHeight="1">
      <c r="A732" s="24" t="s">
        <v>1147</v>
      </c>
      <c r="B732" s="58" t="s">
        <v>2364</v>
      </c>
      <c r="C732" s="18"/>
      <c r="D732" s="56"/>
    </row>
    <row r="733" spans="1:4" ht="37.5" hidden="1" customHeight="1">
      <c r="A733" s="27" t="s">
        <v>1148</v>
      </c>
      <c r="B733" s="27" t="s">
        <v>2365</v>
      </c>
      <c r="C733" s="28"/>
      <c r="D733" s="29"/>
    </row>
    <row r="734" spans="1:4" ht="35.25" hidden="1" customHeight="1">
      <c r="A734" s="24" t="s">
        <v>1149</v>
      </c>
      <c r="B734" s="58" t="s">
        <v>2366</v>
      </c>
      <c r="C734" s="18"/>
      <c r="D734" s="56"/>
    </row>
    <row r="735" spans="1:4" ht="37.5" hidden="1" customHeight="1">
      <c r="A735" s="27" t="s">
        <v>1150</v>
      </c>
      <c r="B735" s="27" t="s">
        <v>2367</v>
      </c>
      <c r="C735" s="28"/>
      <c r="D735" s="29"/>
    </row>
    <row r="736" spans="1:4" ht="35.25" hidden="1" customHeight="1">
      <c r="A736" s="24" t="s">
        <v>1151</v>
      </c>
      <c r="B736" s="58" t="s">
        <v>2368</v>
      </c>
      <c r="C736" s="18"/>
      <c r="D736" s="56"/>
    </row>
    <row r="737" spans="1:4" ht="37.5" hidden="1" customHeight="1">
      <c r="A737" s="27" t="s">
        <v>1152</v>
      </c>
      <c r="B737" s="27" t="s">
        <v>2369</v>
      </c>
      <c r="C737" s="28"/>
      <c r="D737" s="29"/>
    </row>
    <row r="738" spans="1:4" ht="35.25" hidden="1" customHeight="1">
      <c r="A738" s="24" t="s">
        <v>1153</v>
      </c>
      <c r="B738" s="58" t="s">
        <v>2370</v>
      </c>
      <c r="C738" s="18"/>
      <c r="D738" s="56"/>
    </row>
    <row r="739" spans="1:4" ht="37.5" hidden="1" customHeight="1">
      <c r="A739" s="27" t="s">
        <v>1154</v>
      </c>
      <c r="B739" s="27" t="s">
        <v>2371</v>
      </c>
      <c r="C739" s="28"/>
      <c r="D739" s="29"/>
    </row>
    <row r="740" spans="1:4" ht="35.25" hidden="1" customHeight="1">
      <c r="A740" s="24" t="s">
        <v>1155</v>
      </c>
      <c r="B740" s="58" t="s">
        <v>2372</v>
      </c>
      <c r="C740" s="18"/>
      <c r="D740" s="56"/>
    </row>
    <row r="741" spans="1:4" ht="37.5" hidden="1" customHeight="1">
      <c r="A741" s="27" t="s">
        <v>1156</v>
      </c>
      <c r="B741" s="27" t="s">
        <v>2373</v>
      </c>
      <c r="C741" s="28"/>
      <c r="D741" s="29"/>
    </row>
    <row r="742" spans="1:4" ht="35.25" hidden="1" customHeight="1">
      <c r="A742" s="24" t="s">
        <v>1157</v>
      </c>
      <c r="B742" s="58" t="s">
        <v>2374</v>
      </c>
      <c r="C742" s="18"/>
      <c r="D742" s="56"/>
    </row>
    <row r="743" spans="1:4" ht="37.5" hidden="1" customHeight="1">
      <c r="A743" s="27" t="s">
        <v>1158</v>
      </c>
      <c r="B743" s="27" t="s">
        <v>2375</v>
      </c>
      <c r="C743" s="28"/>
      <c r="D743" s="29"/>
    </row>
    <row r="744" spans="1:4" ht="35.25" hidden="1" customHeight="1">
      <c r="A744" s="24" t="s">
        <v>1159</v>
      </c>
      <c r="B744" s="58" t="s">
        <v>2376</v>
      </c>
      <c r="C744" s="18"/>
      <c r="D744" s="56"/>
    </row>
    <row r="745" spans="1:4" ht="37.5" hidden="1" customHeight="1">
      <c r="A745" s="27" t="s">
        <v>1160</v>
      </c>
      <c r="B745" s="27" t="s">
        <v>2377</v>
      </c>
      <c r="C745" s="28"/>
      <c r="D745" s="29"/>
    </row>
    <row r="746" spans="1:4" ht="35.25" hidden="1" customHeight="1">
      <c r="A746" s="24" t="s">
        <v>2378</v>
      </c>
      <c r="B746" s="58" t="s">
        <v>2379</v>
      </c>
      <c r="C746" s="18"/>
      <c r="D746" s="56"/>
    </row>
    <row r="747" spans="1:4" ht="37.5" hidden="1" customHeight="1">
      <c r="A747" s="27" t="s">
        <v>1165</v>
      </c>
      <c r="B747" s="27" t="s">
        <v>2380</v>
      </c>
      <c r="C747" s="28"/>
      <c r="D747" s="29"/>
    </row>
    <row r="748" spans="1:4" ht="35.25" hidden="1" customHeight="1">
      <c r="A748" s="24" t="s">
        <v>1166</v>
      </c>
      <c r="B748" s="58" t="s">
        <v>2381</v>
      </c>
      <c r="C748" s="18"/>
      <c r="D748" s="56"/>
    </row>
    <row r="749" spans="1:4" ht="37.5" hidden="1" customHeight="1">
      <c r="A749" s="27" t="s">
        <v>1167</v>
      </c>
      <c r="B749" s="27" t="s">
        <v>2382</v>
      </c>
      <c r="C749" s="28"/>
      <c r="D749" s="29"/>
    </row>
    <row r="750" spans="1:4" ht="35.25" hidden="1" customHeight="1">
      <c r="A750" s="24" t="s">
        <v>2383</v>
      </c>
      <c r="B750" s="58" t="s">
        <v>2384</v>
      </c>
      <c r="C750" s="18"/>
      <c r="D750" s="56"/>
    </row>
    <row r="751" spans="1:4" ht="37.5" hidden="1" customHeight="1">
      <c r="A751" s="27" t="s">
        <v>1172</v>
      </c>
      <c r="B751" s="27" t="s">
        <v>2385</v>
      </c>
      <c r="C751" s="28"/>
      <c r="D751" s="29"/>
    </row>
    <row r="752" spans="1:4" ht="35.25" hidden="1" customHeight="1">
      <c r="A752" s="24" t="s">
        <v>1173</v>
      </c>
      <c r="B752" s="58" t="s">
        <v>2386</v>
      </c>
      <c r="C752" s="18"/>
      <c r="D752" s="56"/>
    </row>
    <row r="753" spans="1:4" ht="37.5" hidden="1" customHeight="1">
      <c r="A753" s="27" t="s">
        <v>1174</v>
      </c>
      <c r="B753" s="27" t="s">
        <v>2387</v>
      </c>
      <c r="C753" s="28"/>
      <c r="D753" s="29"/>
    </row>
    <row r="754" spans="1:4" ht="35.25" hidden="1" customHeight="1">
      <c r="A754" s="24" t="s">
        <v>1175</v>
      </c>
      <c r="B754" s="58" t="s">
        <v>2388</v>
      </c>
      <c r="C754" s="18"/>
      <c r="D754" s="56"/>
    </row>
    <row r="755" spans="1:4" ht="37.5" hidden="1" customHeight="1">
      <c r="A755" s="27" t="s">
        <v>1176</v>
      </c>
      <c r="B755" s="27" t="s">
        <v>2389</v>
      </c>
      <c r="C755" s="28"/>
      <c r="D755" s="29"/>
    </row>
    <row r="756" spans="1:4" ht="35.25" hidden="1" customHeight="1">
      <c r="A756" s="24" t="s">
        <v>1177</v>
      </c>
      <c r="B756" s="58" t="s">
        <v>2390</v>
      </c>
      <c r="C756" s="18"/>
      <c r="D756" s="56"/>
    </row>
    <row r="757" spans="1:4" ht="37.5" hidden="1" customHeight="1">
      <c r="A757" s="27" t="s">
        <v>1178</v>
      </c>
      <c r="B757" s="27" t="s">
        <v>2391</v>
      </c>
      <c r="C757" s="28"/>
      <c r="D757" s="29"/>
    </row>
    <row r="758" spans="1:4" ht="35.25" hidden="1" customHeight="1">
      <c r="A758" s="24" t="s">
        <v>1179</v>
      </c>
      <c r="B758" s="58" t="s">
        <v>2392</v>
      </c>
      <c r="C758" s="18"/>
      <c r="D758" s="56"/>
    </row>
    <row r="759" spans="1:4" ht="37.5" hidden="1" customHeight="1">
      <c r="A759" s="27" t="s">
        <v>1180</v>
      </c>
      <c r="B759" s="27" t="s">
        <v>2393</v>
      </c>
      <c r="C759" s="28"/>
      <c r="D759" s="29"/>
    </row>
    <row r="760" spans="1:4" ht="35.25" hidden="1" customHeight="1">
      <c r="A760" s="24" t="s">
        <v>1181</v>
      </c>
      <c r="B760" s="58" t="s">
        <v>2394</v>
      </c>
      <c r="C760" s="18"/>
      <c r="D760" s="56"/>
    </row>
    <row r="761" spans="1:4" ht="37.5" hidden="1" customHeight="1">
      <c r="A761" s="27" t="s">
        <v>1182</v>
      </c>
      <c r="B761" s="27" t="s">
        <v>2395</v>
      </c>
      <c r="C761" s="28"/>
      <c r="D761" s="29"/>
    </row>
    <row r="762" spans="1:4" ht="35.25" hidden="1" customHeight="1">
      <c r="A762" s="24" t="s">
        <v>1183</v>
      </c>
      <c r="B762" s="58" t="s">
        <v>2396</v>
      </c>
      <c r="C762" s="18"/>
      <c r="D762" s="56"/>
    </row>
    <row r="763" spans="1:4" ht="37.5" hidden="1" customHeight="1">
      <c r="A763" s="27" t="s">
        <v>1184</v>
      </c>
      <c r="B763" s="27" t="s">
        <v>2397</v>
      </c>
      <c r="C763" s="28"/>
      <c r="D763" s="29"/>
    </row>
    <row r="764" spans="1:4" ht="35.25" hidden="1" customHeight="1">
      <c r="A764" s="24" t="s">
        <v>1185</v>
      </c>
      <c r="B764" s="58" t="s">
        <v>2398</v>
      </c>
      <c r="C764" s="18"/>
      <c r="D764" s="56"/>
    </row>
    <row r="765" spans="1:4" ht="37.5" hidden="1" customHeight="1">
      <c r="A765" s="27" t="s">
        <v>1186</v>
      </c>
      <c r="B765" s="27" t="s">
        <v>2399</v>
      </c>
      <c r="C765" s="28"/>
      <c r="D765" s="29"/>
    </row>
    <row r="766" spans="1:4" ht="35.25" hidden="1" customHeight="1">
      <c r="A766" s="24" t="s">
        <v>1187</v>
      </c>
      <c r="B766" s="58" t="s">
        <v>2400</v>
      </c>
      <c r="C766" s="18"/>
      <c r="D766" s="56"/>
    </row>
    <row r="767" spans="1:4" ht="37.5" hidden="1" customHeight="1">
      <c r="A767" s="27" t="s">
        <v>1188</v>
      </c>
      <c r="B767" s="27" t="s">
        <v>2401</v>
      </c>
      <c r="C767" s="28"/>
      <c r="D767" s="29"/>
    </row>
    <row r="768" spans="1:4" ht="35.25" hidden="1" customHeight="1">
      <c r="A768" s="24" t="s">
        <v>1189</v>
      </c>
      <c r="B768" s="58" t="s">
        <v>2402</v>
      </c>
      <c r="C768" s="18"/>
      <c r="D768" s="56"/>
    </row>
    <row r="769" spans="1:4" ht="37.5" hidden="1" customHeight="1">
      <c r="A769" s="27" t="s">
        <v>1190</v>
      </c>
      <c r="B769" s="27" t="s">
        <v>2403</v>
      </c>
      <c r="C769" s="28"/>
      <c r="D769" s="29"/>
    </row>
    <row r="770" spans="1:4" ht="35.25" hidden="1" customHeight="1">
      <c r="A770" s="24" t="s">
        <v>1191</v>
      </c>
      <c r="B770" s="58" t="s">
        <v>2404</v>
      </c>
      <c r="C770" s="18"/>
      <c r="D770" s="56"/>
    </row>
    <row r="771" spans="1:4" ht="37.5" hidden="1" customHeight="1">
      <c r="A771" s="27" t="s">
        <v>1192</v>
      </c>
      <c r="B771" s="27" t="s">
        <v>2405</v>
      </c>
      <c r="C771" s="28"/>
      <c r="D771" s="29"/>
    </row>
    <row r="772" spans="1:4" ht="35.25" hidden="1" customHeight="1">
      <c r="A772" s="24" t="s">
        <v>1193</v>
      </c>
      <c r="B772" s="58" t="s">
        <v>2406</v>
      </c>
      <c r="C772" s="18"/>
      <c r="D772" s="56"/>
    </row>
    <row r="773" spans="1:4" ht="37.5" hidden="1" customHeight="1">
      <c r="A773" s="27" t="s">
        <v>1194</v>
      </c>
      <c r="B773" s="27" t="s">
        <v>2407</v>
      </c>
      <c r="C773" s="28"/>
      <c r="D773" s="29"/>
    </row>
    <row r="774" spans="1:4" ht="35.25" hidden="1" customHeight="1">
      <c r="A774" s="24" t="s">
        <v>1195</v>
      </c>
      <c r="B774" s="58" t="s">
        <v>2408</v>
      </c>
      <c r="C774" s="18"/>
      <c r="D774" s="56"/>
    </row>
    <row r="775" spans="1:4" ht="37.5" hidden="1" customHeight="1">
      <c r="A775" s="27" t="s">
        <v>1196</v>
      </c>
      <c r="B775" s="27" t="s">
        <v>2409</v>
      </c>
      <c r="C775" s="28"/>
      <c r="D775" s="29"/>
    </row>
    <row r="776" spans="1:4" ht="35.25" hidden="1" customHeight="1">
      <c r="A776" s="24" t="s">
        <v>1197</v>
      </c>
      <c r="B776" s="58" t="s">
        <v>2410</v>
      </c>
      <c r="C776" s="18"/>
      <c r="D776" s="56"/>
    </row>
    <row r="777" spans="1:4" ht="37.5" hidden="1" customHeight="1">
      <c r="A777" s="27" t="s">
        <v>1198</v>
      </c>
      <c r="B777" s="27" t="s">
        <v>2411</v>
      </c>
      <c r="C777" s="28"/>
      <c r="D777" s="29"/>
    </row>
    <row r="778" spans="1:4" ht="35.25" hidden="1" customHeight="1">
      <c r="A778" s="24" t="s">
        <v>1199</v>
      </c>
      <c r="B778" s="58" t="s">
        <v>2412</v>
      </c>
      <c r="C778" s="18"/>
      <c r="D778" s="56"/>
    </row>
    <row r="779" spans="1:4" ht="37.5" hidden="1" customHeight="1">
      <c r="A779" s="27" t="s">
        <v>2413</v>
      </c>
      <c r="B779" s="27" t="s">
        <v>2414</v>
      </c>
      <c r="C779" s="28"/>
      <c r="D779" s="29"/>
    </row>
    <row r="780" spans="1:4" ht="35.25" hidden="1" customHeight="1">
      <c r="A780" s="24" t="s">
        <v>1207</v>
      </c>
      <c r="B780" s="58" t="s">
        <v>2415</v>
      </c>
      <c r="C780" s="18"/>
      <c r="D780" s="56"/>
    </row>
    <row r="781" spans="1:4" ht="37.5" hidden="1" customHeight="1">
      <c r="A781" s="27" t="s">
        <v>1208</v>
      </c>
      <c r="B781" s="27" t="s">
        <v>2416</v>
      </c>
      <c r="C781" s="28"/>
      <c r="D781" s="29"/>
    </row>
    <row r="782" spans="1:4" ht="35.25" hidden="1" customHeight="1">
      <c r="A782" s="24" t="s">
        <v>1209</v>
      </c>
      <c r="B782" s="58" t="s">
        <v>2417</v>
      </c>
      <c r="C782" s="18"/>
      <c r="D782" s="56"/>
    </row>
    <row r="783" spans="1:4" ht="37.5" hidden="1" customHeight="1">
      <c r="A783" s="27" t="s">
        <v>1210</v>
      </c>
      <c r="B783" s="27" t="s">
        <v>2418</v>
      </c>
      <c r="C783" s="28"/>
      <c r="D783" s="29"/>
    </row>
    <row r="784" spans="1:4" ht="35.25" hidden="1" customHeight="1">
      <c r="A784" s="24" t="s">
        <v>1211</v>
      </c>
      <c r="B784" s="58" t="s">
        <v>2419</v>
      </c>
      <c r="C784" s="18"/>
      <c r="D784" s="56"/>
    </row>
    <row r="785" spans="1:4" ht="37.5" hidden="1" customHeight="1">
      <c r="A785" s="27" t="s">
        <v>1212</v>
      </c>
      <c r="B785" s="27" t="s">
        <v>2420</v>
      </c>
      <c r="C785" s="28"/>
      <c r="D785" s="29"/>
    </row>
    <row r="786" spans="1:4" ht="35.25" hidden="1" customHeight="1">
      <c r="A786" s="24" t="s">
        <v>1213</v>
      </c>
      <c r="B786" s="58" t="s">
        <v>2421</v>
      </c>
      <c r="C786" s="18"/>
      <c r="D786" s="56"/>
    </row>
    <row r="787" spans="1:4" ht="37.5" hidden="1" customHeight="1">
      <c r="A787" s="27" t="s">
        <v>1214</v>
      </c>
      <c r="B787" s="27" t="s">
        <v>2422</v>
      </c>
      <c r="C787" s="28"/>
      <c r="D787" s="29"/>
    </row>
    <row r="788" spans="1:4" ht="35.25" hidden="1" customHeight="1">
      <c r="A788" s="24" t="s">
        <v>1215</v>
      </c>
      <c r="B788" s="58" t="s">
        <v>2423</v>
      </c>
      <c r="C788" s="18"/>
      <c r="D788" s="56"/>
    </row>
    <row r="789" spans="1:4" ht="37.5" hidden="1" customHeight="1">
      <c r="A789" s="27" t="s">
        <v>1216</v>
      </c>
      <c r="B789" s="27" t="s">
        <v>2424</v>
      </c>
      <c r="C789" s="28"/>
      <c r="D789" s="29"/>
    </row>
    <row r="790" spans="1:4" ht="35.25" hidden="1" customHeight="1">
      <c r="A790" s="24" t="s">
        <v>1217</v>
      </c>
      <c r="B790" s="58" t="s">
        <v>2425</v>
      </c>
      <c r="C790" s="18"/>
      <c r="D790" s="56"/>
    </row>
    <row r="791" spans="1:4" ht="37.5" hidden="1" customHeight="1">
      <c r="A791" s="27" t="s">
        <v>1218</v>
      </c>
      <c r="B791" s="27" t="s">
        <v>2426</v>
      </c>
      <c r="C791" s="28"/>
      <c r="D791" s="29"/>
    </row>
    <row r="792" spans="1:4" ht="35.25" hidden="1" customHeight="1">
      <c r="A792" s="24" t="s">
        <v>1219</v>
      </c>
      <c r="B792" s="58" t="s">
        <v>2427</v>
      </c>
      <c r="C792" s="18"/>
      <c r="D792" s="56"/>
    </row>
    <row r="793" spans="1:4" ht="37.5" hidden="1" customHeight="1">
      <c r="A793" s="27" t="s">
        <v>1220</v>
      </c>
      <c r="B793" s="27" t="s">
        <v>2428</v>
      </c>
      <c r="C793" s="28"/>
      <c r="D793" s="29"/>
    </row>
    <row r="794" spans="1:4" ht="35.25" hidden="1" customHeight="1">
      <c r="A794" s="24" t="s">
        <v>1221</v>
      </c>
      <c r="B794" s="58" t="s">
        <v>2429</v>
      </c>
      <c r="C794" s="18"/>
      <c r="D794" s="56"/>
    </row>
    <row r="795" spans="1:4" ht="37.5" hidden="1" customHeight="1">
      <c r="A795" s="27" t="s">
        <v>1222</v>
      </c>
      <c r="B795" s="27" t="s">
        <v>2430</v>
      </c>
      <c r="C795" s="28"/>
      <c r="D795" s="29"/>
    </row>
    <row r="796" spans="1:4" ht="35.25" hidden="1" customHeight="1">
      <c r="A796" s="24" t="s">
        <v>1223</v>
      </c>
      <c r="B796" s="58" t="s">
        <v>2431</v>
      </c>
      <c r="C796" s="18"/>
      <c r="D796" s="56"/>
    </row>
    <row r="797" spans="1:4" ht="37.5" hidden="1" customHeight="1">
      <c r="A797" s="27" t="s">
        <v>1224</v>
      </c>
      <c r="B797" s="27" t="s">
        <v>2432</v>
      </c>
      <c r="C797" s="28"/>
      <c r="D797" s="29"/>
    </row>
    <row r="798" spans="1:4" ht="35.25" hidden="1" customHeight="1">
      <c r="A798" s="24" t="s">
        <v>1225</v>
      </c>
      <c r="B798" s="58" t="s">
        <v>2433</v>
      </c>
      <c r="C798" s="18"/>
      <c r="D798" s="56"/>
    </row>
    <row r="799" spans="1:4" ht="37.5" hidden="1" customHeight="1">
      <c r="A799" s="27" t="s">
        <v>1226</v>
      </c>
      <c r="B799" s="27" t="s">
        <v>2434</v>
      </c>
      <c r="C799" s="28"/>
      <c r="D799" s="29"/>
    </row>
    <row r="800" spans="1:4" ht="35.25" hidden="1" customHeight="1">
      <c r="A800" s="24" t="s">
        <v>1227</v>
      </c>
      <c r="B800" s="58" t="s">
        <v>2435</v>
      </c>
      <c r="C800" s="18"/>
      <c r="D800" s="56"/>
    </row>
    <row r="801" spans="1:4" ht="37.5" hidden="1" customHeight="1">
      <c r="A801" s="27" t="s">
        <v>1228</v>
      </c>
      <c r="B801" s="27" t="s">
        <v>2436</v>
      </c>
      <c r="C801" s="28"/>
      <c r="D801" s="29"/>
    </row>
    <row r="802" spans="1:4" ht="35.25" hidden="1" customHeight="1">
      <c r="A802" s="24" t="s">
        <v>1229</v>
      </c>
      <c r="B802" s="58" t="s">
        <v>2437</v>
      </c>
      <c r="C802" s="18"/>
      <c r="D802" s="56"/>
    </row>
    <row r="803" spans="1:4" ht="37.5" hidden="1" customHeight="1">
      <c r="A803" s="27" t="s">
        <v>1230</v>
      </c>
      <c r="B803" s="27" t="s">
        <v>2438</v>
      </c>
      <c r="C803" s="28"/>
      <c r="D803" s="29"/>
    </row>
    <row r="804" spans="1:4" ht="35.25" hidden="1" customHeight="1">
      <c r="A804" s="24" t="s">
        <v>1231</v>
      </c>
      <c r="B804" s="58" t="s">
        <v>2439</v>
      </c>
      <c r="C804" s="18"/>
      <c r="D804" s="56"/>
    </row>
    <row r="805" spans="1:4" ht="37.5" hidden="1" customHeight="1">
      <c r="A805" s="27" t="s">
        <v>1232</v>
      </c>
      <c r="B805" s="27" t="s">
        <v>2440</v>
      </c>
      <c r="C805" s="28"/>
      <c r="D805" s="29"/>
    </row>
    <row r="806" spans="1:4" ht="35.25" hidden="1" customHeight="1">
      <c r="A806" s="24" t="s">
        <v>1233</v>
      </c>
      <c r="B806" s="58" t="s">
        <v>2441</v>
      </c>
      <c r="C806" s="18"/>
      <c r="D806" s="56"/>
    </row>
    <row r="807" spans="1:4" ht="37.5" hidden="1" customHeight="1">
      <c r="A807" s="27" t="s">
        <v>1235</v>
      </c>
      <c r="B807" s="27" t="s">
        <v>2442</v>
      </c>
      <c r="C807" s="28"/>
      <c r="D807" s="29"/>
    </row>
    <row r="808" spans="1:4" ht="35.25" hidden="1" customHeight="1">
      <c r="A808" s="24" t="s">
        <v>1236</v>
      </c>
      <c r="B808" s="58" t="s">
        <v>2443</v>
      </c>
      <c r="C808" s="18"/>
      <c r="D808" s="56"/>
    </row>
    <row r="809" spans="1:4" ht="37.5" hidden="1" customHeight="1">
      <c r="A809" s="27" t="s">
        <v>1237</v>
      </c>
      <c r="B809" s="27" t="s">
        <v>2444</v>
      </c>
      <c r="C809" s="28"/>
      <c r="D809" s="29"/>
    </row>
    <row r="810" spans="1:4" ht="35.25" hidden="1" customHeight="1">
      <c r="A810" s="24" t="s">
        <v>1238</v>
      </c>
      <c r="B810" s="58" t="s">
        <v>2445</v>
      </c>
      <c r="C810" s="18"/>
      <c r="D810" s="56"/>
    </row>
    <row r="811" spans="1:4" ht="85.5" customHeight="1">
      <c r="A811" s="27" t="s">
        <v>422</v>
      </c>
      <c r="B811" s="27" t="s">
        <v>2446</v>
      </c>
      <c r="C811" s="28" t="e">
        <f ca="1">image("https://www.serebii.net/Shiny/SWSH/806.png",4,100,100)</f>
        <v>#NAME?</v>
      </c>
      <c r="D811" s="49">
        <v>275</v>
      </c>
    </row>
    <row r="812" spans="1:4" ht="54" customHeight="1">
      <c r="A812" s="24" t="s">
        <v>425</v>
      </c>
      <c r="B812" s="58" t="s">
        <v>2447</v>
      </c>
      <c r="C812" s="22" t="e">
        <f ca="1">image("https://www.serebii.net/Shiny/SWSH/807.png",4,80,80)</f>
        <v>#NAME?</v>
      </c>
      <c r="D812" s="30" t="s">
        <v>455</v>
      </c>
    </row>
    <row r="813" spans="1:4" ht="66.75" customHeight="1">
      <c r="A813" s="27" t="s">
        <v>426</v>
      </c>
      <c r="B813" s="27" t="s">
        <v>2448</v>
      </c>
      <c r="C813" s="28" t="e">
        <f ca="1">image("https://www.serebii.net/Shiny/SWSH/808.png",4,100,100)</f>
        <v>#NAME?</v>
      </c>
      <c r="D813" s="29" t="s">
        <v>455</v>
      </c>
    </row>
    <row r="814" spans="1:4" ht="78" customHeight="1">
      <c r="A814" s="24" t="s">
        <v>428</v>
      </c>
      <c r="B814" s="58" t="s">
        <v>2449</v>
      </c>
      <c r="C814" s="22" t="e">
        <f ca="1">image("https://www.serebii.net/Shiny/SWSH/809.png",4,150,160)</f>
        <v>#NAME?</v>
      </c>
      <c r="D814" s="30" t="s">
        <v>455</v>
      </c>
    </row>
    <row r="815" spans="1:4" ht="37.5" hidden="1" customHeight="1">
      <c r="A815" s="27" t="s">
        <v>2450</v>
      </c>
      <c r="B815" s="27" t="s">
        <v>2451</v>
      </c>
      <c r="C815" s="28"/>
      <c r="D815" s="29"/>
    </row>
    <row r="816" spans="1:4" ht="35.25" hidden="1" customHeight="1">
      <c r="A816" s="24" t="s">
        <v>1242</v>
      </c>
      <c r="B816" s="58" t="s">
        <v>2452</v>
      </c>
      <c r="C816" s="18"/>
      <c r="D816" s="56"/>
    </row>
    <row r="817" spans="1:4" ht="37.5" hidden="1" customHeight="1">
      <c r="A817" s="27" t="s">
        <v>1243</v>
      </c>
      <c r="B817" s="27" t="s">
        <v>2453</v>
      </c>
      <c r="C817" s="28"/>
      <c r="D817" s="29"/>
    </row>
    <row r="818" spans="1:4" ht="35.25" hidden="1" customHeight="1">
      <c r="A818" s="24" t="s">
        <v>1244</v>
      </c>
      <c r="B818" s="58" t="s">
        <v>2454</v>
      </c>
      <c r="C818" s="18"/>
      <c r="D818" s="56"/>
    </row>
    <row r="819" spans="1:4" ht="37.5" hidden="1" customHeight="1">
      <c r="A819" s="27" t="s">
        <v>1245</v>
      </c>
      <c r="B819" s="27" t="s">
        <v>2455</v>
      </c>
      <c r="C819" s="28"/>
      <c r="D819" s="29"/>
    </row>
    <row r="820" spans="1:4" ht="35.25" hidden="1" customHeight="1">
      <c r="A820" s="24" t="s">
        <v>1246</v>
      </c>
      <c r="B820" s="58" t="s">
        <v>2456</v>
      </c>
      <c r="C820" s="18"/>
      <c r="D820" s="56"/>
    </row>
    <row r="821" spans="1:4" ht="37.5" hidden="1" customHeight="1">
      <c r="A821" s="27" t="s">
        <v>1247</v>
      </c>
      <c r="B821" s="27" t="s">
        <v>2457</v>
      </c>
      <c r="C821" s="28"/>
      <c r="D821" s="29"/>
    </row>
    <row r="822" spans="1:4" ht="35.25" hidden="1" customHeight="1">
      <c r="A822" s="24" t="s">
        <v>1248</v>
      </c>
      <c r="B822" s="58" t="s">
        <v>2458</v>
      </c>
      <c r="C822" s="18"/>
      <c r="D822" s="56"/>
    </row>
    <row r="823" spans="1:4" ht="37.5" hidden="1" customHeight="1">
      <c r="A823" s="27" t="s">
        <v>1249</v>
      </c>
      <c r="B823" s="27" t="s">
        <v>2459</v>
      </c>
      <c r="C823" s="28"/>
      <c r="D823" s="29"/>
    </row>
    <row r="824" spans="1:4" ht="78" hidden="1" customHeight="1">
      <c r="A824" s="24" t="s">
        <v>1250</v>
      </c>
      <c r="B824" s="58" t="s">
        <v>2460</v>
      </c>
      <c r="C824" s="18"/>
      <c r="D824" s="30"/>
    </row>
    <row r="825" spans="1:4" ht="75" hidden="1" customHeight="1">
      <c r="A825" s="27" t="s">
        <v>1251</v>
      </c>
      <c r="B825" s="27" t="s">
        <v>2461</v>
      </c>
      <c r="C825" s="28"/>
      <c r="D825" s="29"/>
    </row>
    <row r="826" spans="1:4" ht="35.25" hidden="1" customHeight="1">
      <c r="A826" s="24" t="s">
        <v>1252</v>
      </c>
      <c r="B826" s="58" t="s">
        <v>2462</v>
      </c>
      <c r="C826" s="18"/>
      <c r="D826" s="56"/>
    </row>
    <row r="827" spans="1:4" ht="37.5" hidden="1" customHeight="1">
      <c r="A827" s="27" t="s">
        <v>1253</v>
      </c>
      <c r="B827" s="27" t="s">
        <v>2463</v>
      </c>
      <c r="C827" s="28"/>
      <c r="D827" s="29"/>
    </row>
    <row r="828" spans="1:4" ht="35.25" hidden="1" customHeight="1">
      <c r="A828" s="24" t="s">
        <v>1254</v>
      </c>
      <c r="B828" s="58" t="s">
        <v>2464</v>
      </c>
      <c r="C828" s="18"/>
      <c r="D828" s="56"/>
    </row>
    <row r="829" spans="1:4" ht="37.5" hidden="1" customHeight="1">
      <c r="A829" s="27" t="s">
        <v>1255</v>
      </c>
      <c r="B829" s="27" t="s">
        <v>2465</v>
      </c>
      <c r="C829" s="28"/>
      <c r="D829" s="29"/>
    </row>
    <row r="830" spans="1:4" ht="35.25" hidden="1" customHeight="1">
      <c r="A830" s="24" t="s">
        <v>1256</v>
      </c>
      <c r="B830" s="58" t="s">
        <v>2466</v>
      </c>
      <c r="C830" s="18"/>
      <c r="D830" s="56"/>
    </row>
    <row r="831" spans="1:4" ht="37.5" hidden="1" customHeight="1">
      <c r="A831" s="27" t="s">
        <v>1257</v>
      </c>
      <c r="B831" s="27" t="s">
        <v>2467</v>
      </c>
      <c r="C831" s="28"/>
      <c r="D831" s="29"/>
    </row>
    <row r="832" spans="1:4" ht="35.25" hidden="1" customHeight="1">
      <c r="A832" s="24" t="s">
        <v>1258</v>
      </c>
      <c r="B832" s="58" t="s">
        <v>2468</v>
      </c>
      <c r="C832" s="18"/>
      <c r="D832" s="56"/>
    </row>
    <row r="833" spans="1:4" ht="37.5" hidden="1" customHeight="1">
      <c r="A833" s="27" t="s">
        <v>1259</v>
      </c>
      <c r="B833" s="27" t="s">
        <v>2469</v>
      </c>
      <c r="C833" s="28"/>
      <c r="D833" s="29"/>
    </row>
    <row r="834" spans="1:4" ht="35.25" hidden="1" customHeight="1">
      <c r="A834" s="24" t="s">
        <v>1260</v>
      </c>
      <c r="B834" s="58" t="s">
        <v>2470</v>
      </c>
      <c r="C834" s="18"/>
      <c r="D834" s="56"/>
    </row>
    <row r="835" spans="1:4" ht="37.5" hidden="1" customHeight="1">
      <c r="A835" s="27" t="s">
        <v>1261</v>
      </c>
      <c r="B835" s="27" t="s">
        <v>2471</v>
      </c>
      <c r="C835" s="28"/>
      <c r="D835" s="29"/>
    </row>
    <row r="836" spans="1:4" ht="59.25" customHeight="1">
      <c r="A836" s="24" t="s">
        <v>430</v>
      </c>
      <c r="B836" s="58" t="s">
        <v>2472</v>
      </c>
      <c r="C836" s="18" t="e">
        <f ca="1">image("https://www.serebii.net/Shiny/SWSH/831.png",4,100,100)</f>
        <v>#NAME?</v>
      </c>
      <c r="D836" s="19">
        <v>3</v>
      </c>
    </row>
    <row r="837" spans="1:4" ht="37.5" hidden="1" customHeight="1">
      <c r="A837" s="27" t="s">
        <v>1262</v>
      </c>
      <c r="B837" s="27" t="s">
        <v>2473</v>
      </c>
      <c r="C837" s="28" t="s">
        <v>2474</v>
      </c>
      <c r="D837" s="29"/>
    </row>
    <row r="838" spans="1:4" ht="35.25" hidden="1" customHeight="1">
      <c r="A838" s="24" t="s">
        <v>1263</v>
      </c>
      <c r="B838" s="58" t="s">
        <v>2475</v>
      </c>
      <c r="C838" s="18"/>
      <c r="D838" s="56"/>
    </row>
    <row r="839" spans="1:4" ht="37.5" hidden="1" customHeight="1">
      <c r="A839" s="27" t="s">
        <v>1264</v>
      </c>
      <c r="B839" s="27" t="s">
        <v>2476</v>
      </c>
      <c r="C839" s="28"/>
      <c r="D839" s="29"/>
    </row>
    <row r="840" spans="1:4" ht="35.25" hidden="1" customHeight="1">
      <c r="A840" s="24" t="s">
        <v>1265</v>
      </c>
      <c r="B840" s="58" t="s">
        <v>2477</v>
      </c>
      <c r="C840" s="18"/>
      <c r="D840" s="56"/>
    </row>
    <row r="841" spans="1:4" ht="37.5" hidden="1" customHeight="1">
      <c r="A841" s="27" t="s">
        <v>1266</v>
      </c>
      <c r="B841" s="27" t="s">
        <v>2478</v>
      </c>
      <c r="C841" s="28"/>
      <c r="D841" s="29"/>
    </row>
    <row r="842" spans="1:4" ht="35.25" hidden="1" customHeight="1">
      <c r="A842" s="24" t="s">
        <v>1267</v>
      </c>
      <c r="B842" s="58" t="s">
        <v>2479</v>
      </c>
      <c r="C842" s="18"/>
      <c r="D842" s="56"/>
    </row>
    <row r="843" spans="1:4" ht="37.5" hidden="1" customHeight="1">
      <c r="A843" s="27" t="s">
        <v>1268</v>
      </c>
      <c r="B843" s="27" t="s">
        <v>2480</v>
      </c>
      <c r="C843" s="28"/>
      <c r="D843" s="29"/>
    </row>
    <row r="844" spans="1:4" ht="35.25" hidden="1" customHeight="1">
      <c r="A844" s="24" t="s">
        <v>1269</v>
      </c>
      <c r="B844" s="58" t="s">
        <v>2481</v>
      </c>
      <c r="C844" s="18"/>
      <c r="D844" s="56"/>
    </row>
    <row r="845" spans="1:4" ht="37.5" hidden="1" customHeight="1">
      <c r="A845" s="27" t="s">
        <v>1270</v>
      </c>
      <c r="B845" s="27" t="s">
        <v>2482</v>
      </c>
      <c r="C845" s="28"/>
      <c r="D845" s="29"/>
    </row>
    <row r="846" spans="1:4" ht="35.25" hidden="1" customHeight="1">
      <c r="A846" s="24" t="s">
        <v>1271</v>
      </c>
      <c r="B846" s="58" t="s">
        <v>2483</v>
      </c>
      <c r="C846" s="18"/>
      <c r="D846" s="56"/>
    </row>
    <row r="847" spans="1:4" ht="37.5" hidden="1" customHeight="1">
      <c r="A847" s="27" t="s">
        <v>1272</v>
      </c>
      <c r="B847" s="27" t="s">
        <v>2484</v>
      </c>
      <c r="C847" s="28"/>
      <c r="D847" s="29"/>
    </row>
    <row r="848" spans="1:4" ht="35.25" hidden="1" customHeight="1">
      <c r="A848" s="24" t="s">
        <v>1273</v>
      </c>
      <c r="B848" s="58" t="s">
        <v>2485</v>
      </c>
      <c r="C848" s="18"/>
      <c r="D848" s="56"/>
    </row>
    <row r="849" spans="1:19" ht="61.5" customHeight="1">
      <c r="A849" s="27" t="s">
        <v>432</v>
      </c>
      <c r="B849" s="27" t="s">
        <v>2486</v>
      </c>
      <c r="C849" s="28" t="e">
        <f ca="1">image("https://www.serebii.net/Shiny/SWSH/844.png",4,100,100)</f>
        <v>#NAME?</v>
      </c>
      <c r="D849" s="29" t="s">
        <v>455</v>
      </c>
      <c r="E849" s="46"/>
    </row>
    <row r="850" spans="1:19" ht="75.75" customHeight="1">
      <c r="A850" s="24" t="s">
        <v>434</v>
      </c>
      <c r="B850" s="58" t="s">
        <v>2487</v>
      </c>
      <c r="C850" s="18" t="e">
        <f ca="1">image("https://www.serebii.net/Shiny/SWSH/845.png",4,100,100)</f>
        <v>#NAME?</v>
      </c>
      <c r="D850" s="30" t="s">
        <v>455</v>
      </c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</row>
    <row r="851" spans="1:19" ht="37.5" hidden="1" customHeight="1">
      <c r="A851" s="27" t="s">
        <v>1274</v>
      </c>
      <c r="B851" s="27" t="s">
        <v>2488</v>
      </c>
      <c r="C851" s="28"/>
      <c r="D851" s="29"/>
    </row>
    <row r="852" spans="1:19" ht="35.25" hidden="1" customHeight="1">
      <c r="A852" s="24" t="s">
        <v>1275</v>
      </c>
      <c r="B852" s="58" t="s">
        <v>2489</v>
      </c>
      <c r="C852" s="18"/>
      <c r="D852" s="56"/>
    </row>
    <row r="853" spans="1:19" ht="37.5" hidden="1" customHeight="1">
      <c r="A853" s="27" t="s">
        <v>1276</v>
      </c>
      <c r="B853" s="27" t="s">
        <v>2490</v>
      </c>
      <c r="C853" s="28"/>
      <c r="D853" s="29"/>
    </row>
    <row r="854" spans="1:19" ht="92.25" customHeight="1">
      <c r="A854" s="24" t="s">
        <v>436</v>
      </c>
      <c r="B854" s="58" t="s">
        <v>2491</v>
      </c>
      <c r="C854" s="18" t="e">
        <f ca="1">image("https://www.serebii.net/Shiny/SWSH/849.png",4,125,150)</f>
        <v>#NAME?</v>
      </c>
      <c r="D854" s="30" t="s">
        <v>455</v>
      </c>
    </row>
    <row r="855" spans="1:19" ht="37.5" hidden="1" customHeight="1">
      <c r="A855" s="27" t="s">
        <v>1279</v>
      </c>
      <c r="B855" s="27" t="s">
        <v>2492</v>
      </c>
      <c r="C855" s="28"/>
      <c r="D855" s="29"/>
    </row>
    <row r="856" spans="1:19" ht="35.25" hidden="1" customHeight="1">
      <c r="A856" s="24" t="s">
        <v>1280</v>
      </c>
      <c r="B856" s="58" t="s">
        <v>2493</v>
      </c>
      <c r="C856" s="18"/>
      <c r="D856" s="56"/>
    </row>
    <row r="857" spans="1:19" ht="37.5" hidden="1" customHeight="1">
      <c r="A857" s="27" t="s">
        <v>1281</v>
      </c>
      <c r="B857" s="27" t="s">
        <v>2494</v>
      </c>
      <c r="C857" s="28"/>
      <c r="D857" s="29"/>
    </row>
    <row r="858" spans="1:19" ht="35.25" hidden="1" customHeight="1">
      <c r="A858" s="24" t="s">
        <v>1282</v>
      </c>
      <c r="B858" s="58" t="s">
        <v>2495</v>
      </c>
      <c r="C858" s="18"/>
      <c r="D858" s="56"/>
    </row>
    <row r="859" spans="1:19" ht="37.5" hidden="1" customHeight="1">
      <c r="A859" s="27" t="s">
        <v>2496</v>
      </c>
      <c r="B859" s="27" t="s">
        <v>2497</v>
      </c>
      <c r="C859" s="28"/>
      <c r="D859" s="29"/>
    </row>
    <row r="860" spans="1:19" ht="35.25" hidden="1" customHeight="1">
      <c r="A860" s="24" t="s">
        <v>2498</v>
      </c>
      <c r="B860" s="58" t="s">
        <v>2499</v>
      </c>
      <c r="C860" s="18"/>
      <c r="D860" s="56"/>
    </row>
    <row r="861" spans="1:19" ht="37.5" hidden="1" customHeight="1">
      <c r="A861" s="27" t="s">
        <v>1287</v>
      </c>
      <c r="B861" s="27" t="s">
        <v>2500</v>
      </c>
      <c r="C861" s="28"/>
      <c r="D861" s="29"/>
    </row>
    <row r="862" spans="1:19" ht="35.25" hidden="1" customHeight="1">
      <c r="A862" s="24" t="s">
        <v>1288</v>
      </c>
      <c r="B862" s="58" t="s">
        <v>2501</v>
      </c>
      <c r="C862" s="18"/>
      <c r="D862" s="56"/>
    </row>
    <row r="863" spans="1:19" ht="37.5" hidden="1" customHeight="1">
      <c r="A863" s="27" t="s">
        <v>1289</v>
      </c>
      <c r="B863" s="27" t="s">
        <v>2502</v>
      </c>
      <c r="C863" s="28"/>
      <c r="D863" s="29"/>
    </row>
    <row r="864" spans="1:19" ht="35.25" hidden="1" customHeight="1">
      <c r="A864" s="24" t="s">
        <v>1290</v>
      </c>
      <c r="B864" s="58" t="s">
        <v>2503</v>
      </c>
      <c r="C864" s="18"/>
      <c r="D864" s="56"/>
    </row>
    <row r="865" spans="1:4" ht="37.5" hidden="1" customHeight="1">
      <c r="A865" s="27" t="s">
        <v>1291</v>
      </c>
      <c r="B865" s="27" t="s">
        <v>2504</v>
      </c>
      <c r="C865" s="28"/>
      <c r="D865" s="29"/>
    </row>
    <row r="866" spans="1:4" ht="35.25" hidden="1" customHeight="1">
      <c r="A866" s="24" t="s">
        <v>1292</v>
      </c>
      <c r="B866" s="58" t="s">
        <v>2505</v>
      </c>
      <c r="C866" s="18"/>
      <c r="D866" s="56"/>
    </row>
    <row r="867" spans="1:4" ht="37.5" hidden="1" customHeight="1">
      <c r="A867" s="27" t="s">
        <v>1293</v>
      </c>
      <c r="B867" s="27" t="s">
        <v>2506</v>
      </c>
      <c r="C867" s="28"/>
      <c r="D867" s="29"/>
    </row>
    <row r="868" spans="1:4" ht="35.25" hidden="1" customHeight="1">
      <c r="A868" s="24" t="s">
        <v>1294</v>
      </c>
      <c r="B868" s="58" t="s">
        <v>2507</v>
      </c>
      <c r="C868" s="18"/>
      <c r="D868" s="56"/>
    </row>
    <row r="869" spans="1:4" ht="37.5" hidden="1" customHeight="1">
      <c r="A869" s="27" t="s">
        <v>1295</v>
      </c>
      <c r="B869" s="27" t="s">
        <v>2508</v>
      </c>
      <c r="C869" s="28"/>
      <c r="D869" s="29"/>
    </row>
    <row r="870" spans="1:4" ht="35.25" hidden="1" customHeight="1">
      <c r="A870" s="24" t="s">
        <v>2509</v>
      </c>
      <c r="B870" s="58" t="s">
        <v>2510</v>
      </c>
      <c r="C870" s="18"/>
      <c r="D870" s="56"/>
    </row>
    <row r="871" spans="1:4" ht="37.5" hidden="1" customHeight="1">
      <c r="A871" s="27" t="s">
        <v>1297</v>
      </c>
      <c r="B871" s="27" t="s">
        <v>2511</v>
      </c>
      <c r="C871" s="28"/>
      <c r="D871" s="29"/>
    </row>
    <row r="872" spans="1:4" ht="63" hidden="1" customHeight="1">
      <c r="A872" s="24" t="s">
        <v>1298</v>
      </c>
      <c r="B872" s="58" t="s">
        <v>2512</v>
      </c>
      <c r="C872" s="18"/>
      <c r="D872" s="56"/>
    </row>
    <row r="873" spans="1:4" ht="37.5" hidden="1" customHeight="1">
      <c r="A873" s="27" t="s">
        <v>1299</v>
      </c>
      <c r="B873" s="27" t="s">
        <v>2513</v>
      </c>
      <c r="C873" s="28"/>
      <c r="D873" s="29"/>
    </row>
    <row r="874" spans="1:4" ht="35.25" hidden="1" customHeight="1">
      <c r="A874" s="24" t="s">
        <v>2514</v>
      </c>
      <c r="B874" s="58" t="s">
        <v>2515</v>
      </c>
      <c r="C874" s="18"/>
      <c r="D874" s="56"/>
    </row>
    <row r="875" spans="1:4" ht="37.5" hidden="1" customHeight="1">
      <c r="A875" s="27" t="s">
        <v>1363</v>
      </c>
      <c r="B875" s="27" t="s">
        <v>2516</v>
      </c>
      <c r="C875" s="28"/>
      <c r="D875" s="29"/>
    </row>
    <row r="876" spans="1:4" ht="35.25" hidden="1" customHeight="1">
      <c r="A876" s="24" t="s">
        <v>1364</v>
      </c>
      <c r="B876" s="58" t="s">
        <v>2517</v>
      </c>
      <c r="C876" s="18"/>
      <c r="D876" s="56"/>
    </row>
    <row r="877" spans="1:4" ht="37.5" hidden="1" customHeight="1">
      <c r="A877" s="27" t="s">
        <v>1365</v>
      </c>
      <c r="B877" s="27" t="s">
        <v>2518</v>
      </c>
      <c r="C877" s="28"/>
      <c r="D877" s="29"/>
    </row>
    <row r="878" spans="1:4" ht="35.25" hidden="1" customHeight="1">
      <c r="A878" s="24" t="s">
        <v>1366</v>
      </c>
      <c r="B878" s="58" t="s">
        <v>2519</v>
      </c>
      <c r="C878" s="18"/>
      <c r="D878" s="56"/>
    </row>
    <row r="879" spans="1:4" ht="37.5" hidden="1" customHeight="1">
      <c r="A879" s="27" t="s">
        <v>1367</v>
      </c>
      <c r="B879" s="27" t="s">
        <v>2520</v>
      </c>
      <c r="C879" s="28"/>
      <c r="D879" s="29"/>
    </row>
    <row r="880" spans="1:4" ht="35.25" hidden="1" customHeight="1">
      <c r="A880" s="24" t="s">
        <v>1368</v>
      </c>
      <c r="B880" s="58" t="s">
        <v>2521</v>
      </c>
      <c r="C880" s="18"/>
      <c r="D880" s="56"/>
    </row>
    <row r="881" spans="1:4" ht="37.5" hidden="1" customHeight="1">
      <c r="A881" s="27" t="s">
        <v>2522</v>
      </c>
      <c r="B881" s="27" t="s">
        <v>2523</v>
      </c>
      <c r="C881" s="28"/>
      <c r="D881" s="29"/>
    </row>
    <row r="882" spans="1:4" ht="35.25" hidden="1" customHeight="1">
      <c r="A882" s="24" t="s">
        <v>1369</v>
      </c>
      <c r="B882" s="58" t="s">
        <v>2524</v>
      </c>
      <c r="C882" s="18"/>
      <c r="D882" s="56"/>
    </row>
    <row r="883" spans="1:4" ht="37.5" hidden="1" customHeight="1">
      <c r="A883" s="27" t="s">
        <v>1370</v>
      </c>
      <c r="B883" s="27" t="s">
        <v>2525</v>
      </c>
      <c r="C883" s="28"/>
      <c r="D883" s="29"/>
    </row>
    <row r="884" spans="1:4" ht="35.25" hidden="1" customHeight="1">
      <c r="A884" s="24" t="s">
        <v>1371</v>
      </c>
      <c r="B884" s="58" t="s">
        <v>2526</v>
      </c>
      <c r="C884" s="18"/>
      <c r="D884" s="56"/>
    </row>
    <row r="885" spans="1:4" ht="37.5" hidden="1" customHeight="1">
      <c r="A885" s="27" t="s">
        <v>1372</v>
      </c>
      <c r="B885" s="27" t="s">
        <v>2527</v>
      </c>
      <c r="C885" s="28"/>
      <c r="D885" s="29"/>
    </row>
    <row r="886" spans="1:4" ht="35.25" hidden="1" customHeight="1">
      <c r="A886" s="24" t="s">
        <v>1373</v>
      </c>
      <c r="B886" s="58" t="s">
        <v>2528</v>
      </c>
      <c r="C886" s="18"/>
      <c r="D886" s="56"/>
    </row>
    <row r="887" spans="1:4" ht="37.5" hidden="1" customHeight="1">
      <c r="A887" s="27" t="s">
        <v>1374</v>
      </c>
      <c r="B887" s="27" t="s">
        <v>2529</v>
      </c>
      <c r="C887" s="28"/>
      <c r="D887" s="29"/>
    </row>
    <row r="888" spans="1:4" ht="35.25" hidden="1" customHeight="1">
      <c r="A888" s="24" t="s">
        <v>1375</v>
      </c>
      <c r="B888" s="58" t="s">
        <v>2530</v>
      </c>
      <c r="C888" s="18"/>
      <c r="D888" s="56"/>
    </row>
    <row r="889" spans="1:4" ht="37.5" hidden="1" customHeight="1">
      <c r="A889" s="27" t="s">
        <v>1376</v>
      </c>
      <c r="B889" s="27" t="s">
        <v>2531</v>
      </c>
      <c r="C889" s="28"/>
      <c r="D889" s="29"/>
    </row>
    <row r="890" spans="1:4" ht="35.25" hidden="1" customHeight="1">
      <c r="A890" s="24" t="s">
        <v>1377</v>
      </c>
      <c r="B890" s="58" t="s">
        <v>2532</v>
      </c>
      <c r="C890" s="18"/>
      <c r="D890" s="56"/>
    </row>
    <row r="891" spans="1:4" ht="37.5" hidden="1" customHeight="1">
      <c r="A891" s="27" t="s">
        <v>1378</v>
      </c>
      <c r="B891" s="27" t="s">
        <v>2533</v>
      </c>
      <c r="C891" s="28"/>
      <c r="D891" s="29"/>
    </row>
    <row r="892" spans="1:4" ht="35.25" hidden="1" customHeight="1">
      <c r="A892" s="24" t="s">
        <v>1379</v>
      </c>
      <c r="B892" s="58" t="s">
        <v>2534</v>
      </c>
      <c r="C892" s="18"/>
      <c r="D892" s="56"/>
    </row>
    <row r="893" spans="1:4" ht="75" customHeight="1">
      <c r="A893" s="27" t="s">
        <v>437</v>
      </c>
      <c r="B893" s="27" t="s">
        <v>2535</v>
      </c>
      <c r="C893" s="28" t="e">
        <f ca="1">image("https://www.serebii.net/Shiny/SWSH/888.png",4,100,100)</f>
        <v>#NAME?</v>
      </c>
      <c r="D893" s="29"/>
    </row>
    <row r="894" spans="1:4" ht="66" customHeight="1">
      <c r="A894" s="24" t="s">
        <v>439</v>
      </c>
      <c r="B894" s="58" t="s">
        <v>2536</v>
      </c>
      <c r="C894" s="18" t="e">
        <f ca="1">image("https://www.serebii.net/Shiny/SWSH/889.png",4,100,100)</f>
        <v>#NAME?</v>
      </c>
      <c r="D894" s="30" t="s">
        <v>455</v>
      </c>
    </row>
    <row r="895" spans="1:4" ht="37.5" customHeight="1">
      <c r="A895" s="27" t="s">
        <v>1382</v>
      </c>
      <c r="B895" s="27" t="s">
        <v>2537</v>
      </c>
      <c r="C895" s="28"/>
      <c r="D895" s="29"/>
    </row>
    <row r="896" spans="1:4" ht="35.25" customHeight="1">
      <c r="A896" s="24" t="s">
        <v>1383</v>
      </c>
      <c r="B896" s="58" t="s">
        <v>2538</v>
      </c>
      <c r="C896" s="18"/>
      <c r="D896" s="56"/>
    </row>
    <row r="897" spans="1:4" ht="37.5" customHeight="1">
      <c r="A897" s="27" t="s">
        <v>2539</v>
      </c>
      <c r="B897" s="27" t="s">
        <v>2540</v>
      </c>
      <c r="C897" s="28"/>
      <c r="D897" s="29"/>
    </row>
    <row r="898" spans="1:4" ht="35.25" customHeight="1">
      <c r="A898" s="24" t="s">
        <v>1386</v>
      </c>
      <c r="B898" s="58" t="s">
        <v>2541</v>
      </c>
      <c r="C898" s="18"/>
      <c r="D898" s="56"/>
    </row>
    <row r="899" spans="1:4" ht="37.5" customHeight="1">
      <c r="A899" s="27" t="s">
        <v>1388</v>
      </c>
      <c r="B899" s="27" t="s">
        <v>2542</v>
      </c>
      <c r="C899" s="28"/>
      <c r="D899" s="29"/>
    </row>
    <row r="900" spans="1:4" ht="35.25" customHeight="1">
      <c r="A900" s="24" t="s">
        <v>1389</v>
      </c>
      <c r="B900" s="58" t="s">
        <v>2543</v>
      </c>
      <c r="C900" s="18"/>
      <c r="D900" s="56"/>
    </row>
    <row r="901" spans="1:4" ht="37.5" customHeight="1">
      <c r="A901" s="27" t="s">
        <v>1390</v>
      </c>
      <c r="B901" s="27" t="s">
        <v>2544</v>
      </c>
      <c r="C901" s="28"/>
      <c r="D901" s="29"/>
    </row>
    <row r="902" spans="1:4" ht="35.25" customHeight="1">
      <c r="A902" s="24" t="s">
        <v>1391</v>
      </c>
      <c r="B902" s="58" t="s">
        <v>2545</v>
      </c>
      <c r="C902" s="18"/>
      <c r="D902" s="56"/>
    </row>
    <row r="903" spans="1:4" ht="37.5" customHeight="1">
      <c r="A903" s="27" t="s">
        <v>1392</v>
      </c>
      <c r="B903" s="27" t="s">
        <v>2546</v>
      </c>
      <c r="C903" s="28"/>
      <c r="D903" s="29"/>
    </row>
    <row r="904" spans="1:4" ht="35.25" customHeight="1">
      <c r="A904" s="24" t="s">
        <v>1394</v>
      </c>
      <c r="B904" s="58" t="s">
        <v>2547</v>
      </c>
      <c r="C904" s="18"/>
      <c r="D904" s="56"/>
    </row>
    <row r="905" spans="1:4" ht="37.5" customHeight="1">
      <c r="A905" s="27" t="s">
        <v>1395</v>
      </c>
      <c r="B905" s="27" t="s">
        <v>2548</v>
      </c>
      <c r="C905" s="28"/>
      <c r="D905" s="29"/>
    </row>
    <row r="906" spans="1:4" ht="68.25" customHeight="1">
      <c r="A906" s="24" t="s">
        <v>440</v>
      </c>
      <c r="B906" s="58" t="s">
        <v>2549</v>
      </c>
      <c r="C906" s="18" t="e">
        <f ca="1">image("https://www.serebii.net/Shiny/SWSH/901.png",4,100,100)</f>
        <v>#NAME?</v>
      </c>
      <c r="D906" s="56"/>
    </row>
    <row r="907" spans="1:4" ht="37.5" customHeight="1">
      <c r="A907" s="27" t="s">
        <v>2550</v>
      </c>
      <c r="B907" s="27" t="s">
        <v>2551</v>
      </c>
      <c r="C907" s="28"/>
      <c r="D907" s="29"/>
    </row>
    <row r="908" spans="1:4" ht="35.25" customHeight="1">
      <c r="A908" s="24" t="s">
        <v>1398</v>
      </c>
      <c r="B908" s="58" t="s">
        <v>2552</v>
      </c>
      <c r="C908" s="18"/>
      <c r="D908" s="56"/>
    </row>
    <row r="909" spans="1:4" ht="37.5" customHeight="1">
      <c r="A909" s="27" t="s">
        <v>2553</v>
      </c>
      <c r="B909" s="27" t="s">
        <v>2554</v>
      </c>
      <c r="C909" s="28"/>
      <c r="D909" s="29"/>
    </row>
    <row r="910" spans="1:4" ht="35.25" customHeight="1">
      <c r="A910" s="24" t="s">
        <v>2555</v>
      </c>
      <c r="B910" s="58" t="s">
        <v>2556</v>
      </c>
      <c r="C910" s="18"/>
      <c r="D910" s="56"/>
    </row>
    <row r="911" spans="1:4" ht="37.5" customHeight="1">
      <c r="A911" s="27"/>
      <c r="B911" s="27"/>
      <c r="C911" s="28"/>
      <c r="D911" s="29"/>
    </row>
    <row r="912" spans="1:4" ht="35.25" customHeight="1">
      <c r="A912" s="24"/>
      <c r="B912" s="58"/>
      <c r="C912" s="18"/>
      <c r="D912" s="56"/>
    </row>
    <row r="913" spans="1:4" ht="37.5" customHeight="1">
      <c r="A913" s="27"/>
      <c r="B913" s="27"/>
      <c r="C913" s="28"/>
      <c r="D913" s="29"/>
    </row>
    <row r="914" spans="1:4" ht="35.25" customHeight="1">
      <c r="A914" s="24"/>
      <c r="B914" s="58"/>
      <c r="C914" s="18"/>
      <c r="D914" s="56"/>
    </row>
    <row r="915" spans="1:4" ht="37.5" customHeight="1">
      <c r="A915" s="27"/>
      <c r="B915" s="27"/>
      <c r="C915" s="28"/>
      <c r="D915" s="29"/>
    </row>
    <row r="916" spans="1:4" ht="35.25" customHeight="1">
      <c r="A916" s="24"/>
      <c r="B916" s="58"/>
      <c r="C916" s="18"/>
      <c r="D916" s="56"/>
    </row>
    <row r="917" spans="1:4" ht="37.5" customHeight="1">
      <c r="A917" s="27"/>
      <c r="B917" s="27"/>
      <c r="C917" s="28"/>
      <c r="D917" s="29"/>
    </row>
    <row r="918" spans="1:4" ht="35.25" customHeight="1">
      <c r="A918" s="24"/>
      <c r="B918" s="25"/>
      <c r="C918" s="18"/>
      <c r="D918" s="56"/>
    </row>
    <row r="919" spans="1:4" ht="37.5" customHeight="1">
      <c r="A919" s="25"/>
      <c r="B919" s="25"/>
      <c r="C919" s="18"/>
      <c r="D919" s="30"/>
    </row>
    <row r="920" spans="1:4" ht="35.25" customHeight="1">
      <c r="A920" s="24"/>
      <c r="B920" s="25"/>
      <c r="C920" s="18"/>
      <c r="D920" s="56"/>
    </row>
    <row r="921" spans="1:4" ht="37.5" customHeight="1">
      <c r="A921" s="25"/>
      <c r="B921" s="25"/>
      <c r="C921" s="18"/>
      <c r="D921" s="30"/>
    </row>
    <row r="922" spans="1:4" ht="35.25" customHeight="1">
      <c r="A922" s="24"/>
      <c r="B922" s="25"/>
      <c r="C922" s="18"/>
      <c r="D922" s="56"/>
    </row>
    <row r="923" spans="1:4" ht="37.5" customHeight="1">
      <c r="A923" s="25"/>
      <c r="B923" s="25"/>
      <c r="C923" s="18"/>
      <c r="D923" s="30"/>
    </row>
    <row r="924" spans="1:4" ht="35.25" customHeight="1">
      <c r="A924" s="24"/>
      <c r="B924" s="25"/>
      <c r="C924" s="18"/>
      <c r="D924" s="56"/>
    </row>
    <row r="925" spans="1:4" ht="37.5" customHeight="1">
      <c r="A925" s="25"/>
      <c r="B925" s="25"/>
      <c r="C925" s="18"/>
      <c r="D925" s="30"/>
    </row>
    <row r="926" spans="1:4" ht="35.25" customHeight="1">
      <c r="A926" s="24"/>
      <c r="B926" s="25"/>
      <c r="C926" s="18"/>
      <c r="D926" s="56"/>
    </row>
    <row r="927" spans="1:4" ht="37.5" customHeight="1">
      <c r="A927" s="25"/>
      <c r="B927" s="25"/>
      <c r="C927" s="18"/>
      <c r="D927" s="30"/>
    </row>
    <row r="928" spans="1:4" ht="35.25" customHeight="1">
      <c r="A928" s="24"/>
      <c r="B928" s="25"/>
      <c r="C928" s="18"/>
      <c r="D928" s="56"/>
    </row>
    <row r="929" spans="1:4" ht="37.5" customHeight="1">
      <c r="A929" s="25"/>
      <c r="B929" s="25"/>
      <c r="C929" s="18"/>
      <c r="D929" s="30"/>
    </row>
    <row r="930" spans="1:4" ht="35.25" customHeight="1">
      <c r="A930" s="24"/>
      <c r="B930" s="25"/>
      <c r="C930" s="18"/>
      <c r="D930" s="56"/>
    </row>
    <row r="931" spans="1:4" ht="37.5" customHeight="1">
      <c r="A931" s="25"/>
      <c r="B931" s="25"/>
      <c r="C931" s="18"/>
      <c r="D931" s="30"/>
    </row>
    <row r="932" spans="1:4" ht="35.25" customHeight="1">
      <c r="A932" s="24"/>
      <c r="B932" s="25"/>
      <c r="C932" s="18"/>
      <c r="D932" s="56"/>
    </row>
    <row r="933" spans="1:4" ht="37.5" customHeight="1">
      <c r="A933" s="25"/>
      <c r="B933" s="25"/>
      <c r="C933" s="18"/>
      <c r="D933" s="30"/>
    </row>
    <row r="934" spans="1:4" ht="35.25" customHeight="1">
      <c r="A934" s="24"/>
      <c r="B934" s="25"/>
      <c r="C934" s="18"/>
      <c r="D934" s="56"/>
    </row>
    <row r="935" spans="1:4" ht="37.5" customHeight="1">
      <c r="A935" s="25"/>
      <c r="B935" s="25"/>
      <c r="C935" s="18"/>
      <c r="D935" s="30"/>
    </row>
    <row r="936" spans="1:4" ht="35.25" customHeight="1">
      <c r="A936" s="24"/>
      <c r="B936" s="25"/>
      <c r="C936" s="18"/>
      <c r="D936" s="56"/>
    </row>
    <row r="937" spans="1:4" ht="37.5" customHeight="1">
      <c r="A937" s="25"/>
      <c r="B937" s="25"/>
      <c r="C937" s="18"/>
      <c r="D937" s="30"/>
    </row>
    <row r="938" spans="1:4" ht="35.25" customHeight="1">
      <c r="A938" s="24"/>
      <c r="B938" s="25"/>
      <c r="C938" s="18"/>
      <c r="D938" s="56"/>
    </row>
    <row r="939" spans="1:4" ht="37.5" customHeight="1">
      <c r="A939" s="25"/>
      <c r="B939" s="25"/>
      <c r="C939" s="18"/>
      <c r="D939" s="30"/>
    </row>
    <row r="940" spans="1:4" ht="35.25" customHeight="1">
      <c r="A940" s="24"/>
      <c r="B940" s="25"/>
      <c r="C940" s="18"/>
      <c r="D940" s="56"/>
    </row>
    <row r="941" spans="1:4" ht="37.5" customHeight="1">
      <c r="A941" s="25"/>
      <c r="B941" s="25"/>
      <c r="C941" s="18"/>
      <c r="D941" s="30"/>
    </row>
    <row r="942" spans="1:4" ht="35.25" customHeight="1">
      <c r="A942" s="24"/>
      <c r="B942" s="25"/>
      <c r="C942" s="18"/>
      <c r="D942" s="56"/>
    </row>
    <row r="943" spans="1:4" ht="37.5" customHeight="1">
      <c r="A943" s="25"/>
      <c r="B943" s="25"/>
      <c r="C943" s="18"/>
      <c r="D943" s="30"/>
    </row>
    <row r="944" spans="1:4" ht="35.25" customHeight="1">
      <c r="A944" s="24"/>
      <c r="B944" s="25"/>
      <c r="C944" s="18"/>
      <c r="D944" s="56"/>
    </row>
    <row r="945" spans="1:4" ht="17.5">
      <c r="A945" s="46"/>
      <c r="C945" s="18"/>
      <c r="D945" s="62"/>
    </row>
    <row r="946" spans="1:4" ht="17.5">
      <c r="A946" s="46"/>
      <c r="C946" s="18"/>
      <c r="D946" s="62"/>
    </row>
    <row r="947" spans="1:4" ht="17.5">
      <c r="A947" s="46"/>
      <c r="C947" s="18"/>
      <c r="D947" s="62"/>
    </row>
    <row r="948" spans="1:4" ht="17.5">
      <c r="A948" s="46"/>
      <c r="C948" s="18"/>
      <c r="D948" s="62"/>
    </row>
    <row r="949" spans="1:4" ht="17.5">
      <c r="A949" s="46"/>
      <c r="C949" s="18"/>
      <c r="D949" s="62"/>
    </row>
    <row r="950" spans="1:4" ht="17.5">
      <c r="A950" s="46"/>
      <c r="C950" s="18"/>
      <c r="D950" s="62"/>
    </row>
    <row r="951" spans="1:4" ht="17.5">
      <c r="A951" s="46"/>
      <c r="C951" s="18"/>
      <c r="D951" s="62"/>
    </row>
    <row r="952" spans="1:4" ht="17.5">
      <c r="A952" s="46"/>
      <c r="C952" s="18"/>
      <c r="D952" s="62"/>
    </row>
    <row r="953" spans="1:4" ht="17.5">
      <c r="A953" s="46"/>
      <c r="C953" s="18"/>
      <c r="D953" s="62"/>
    </row>
    <row r="954" spans="1:4" ht="17.5">
      <c r="A954" s="46"/>
      <c r="C954" s="18"/>
      <c r="D954" s="62"/>
    </row>
    <row r="955" spans="1:4" ht="17.5">
      <c r="A955" s="46"/>
      <c r="C955" s="18"/>
      <c r="D955" s="62"/>
    </row>
    <row r="956" spans="1:4" ht="17.5">
      <c r="A956" s="46"/>
      <c r="C956" s="18"/>
      <c r="D956" s="62"/>
    </row>
    <row r="957" spans="1:4" ht="17.5">
      <c r="A957" s="46"/>
      <c r="C957" s="18"/>
      <c r="D957" s="62"/>
    </row>
    <row r="958" spans="1:4" ht="17.5">
      <c r="A958" s="46"/>
      <c r="C958" s="18"/>
      <c r="D958" s="62"/>
    </row>
    <row r="959" spans="1:4" ht="17.5">
      <c r="A959" s="46"/>
      <c r="C959" s="18"/>
      <c r="D959" s="62"/>
    </row>
    <row r="960" spans="1:4" ht="17.5">
      <c r="A960" s="46"/>
      <c r="C960" s="18"/>
      <c r="D960" s="62"/>
    </row>
    <row r="961" spans="1:4" ht="17.5">
      <c r="A961" s="46"/>
      <c r="C961" s="18"/>
      <c r="D961" s="62"/>
    </row>
    <row r="962" spans="1:4" ht="17.5">
      <c r="A962" s="46"/>
      <c r="C962" s="18"/>
      <c r="D962" s="62"/>
    </row>
    <row r="963" spans="1:4" ht="17.5">
      <c r="A963" s="46"/>
      <c r="C963" s="18"/>
      <c r="D963" s="62"/>
    </row>
    <row r="964" spans="1:4" ht="17.5">
      <c r="A964" s="46"/>
      <c r="C964" s="18"/>
      <c r="D964" s="62"/>
    </row>
    <row r="965" spans="1:4" ht="17.5">
      <c r="A965" s="46"/>
      <c r="C965" s="18"/>
      <c r="D965" s="62"/>
    </row>
    <row r="966" spans="1:4" ht="17.5">
      <c r="A966" s="46"/>
      <c r="C966" s="18"/>
      <c r="D966" s="62"/>
    </row>
    <row r="967" spans="1:4" ht="17.5">
      <c r="A967" s="46"/>
      <c r="C967" s="18"/>
      <c r="D967" s="62"/>
    </row>
    <row r="968" spans="1:4" ht="17.5">
      <c r="A968" s="46"/>
      <c r="C968" s="18"/>
      <c r="D968" s="62"/>
    </row>
    <row r="969" spans="1:4" ht="17.5">
      <c r="A969" s="46"/>
      <c r="C969" s="18"/>
      <c r="D969" s="62"/>
    </row>
    <row r="970" spans="1:4" ht="17.5">
      <c r="A970" s="46"/>
      <c r="C970" s="18"/>
      <c r="D970" s="62"/>
    </row>
    <row r="971" spans="1:4" ht="17.5">
      <c r="A971" s="46"/>
      <c r="C971" s="18"/>
      <c r="D971" s="62"/>
    </row>
    <row r="972" spans="1:4" ht="17.5">
      <c r="A972" s="46"/>
      <c r="C972" s="18"/>
      <c r="D972" s="62"/>
    </row>
    <row r="973" spans="1:4" ht="17.5">
      <c r="A973" s="46"/>
      <c r="C973" s="18"/>
      <c r="D973" s="62"/>
    </row>
    <row r="974" spans="1:4" ht="17.5">
      <c r="A974" s="46"/>
      <c r="C974" s="18"/>
      <c r="D974" s="62"/>
    </row>
    <row r="975" spans="1:4" ht="17.5">
      <c r="A975" s="46"/>
      <c r="C975" s="18"/>
      <c r="D975" s="62"/>
    </row>
    <row r="976" spans="1:4" ht="17.5">
      <c r="A976" s="46"/>
      <c r="C976" s="18"/>
      <c r="D976" s="62"/>
    </row>
    <row r="977" spans="1:4" ht="17.5">
      <c r="A977" s="46"/>
      <c r="C977" s="18"/>
      <c r="D977" s="62"/>
    </row>
    <row r="978" spans="1:4" ht="17.5">
      <c r="A978" s="46"/>
      <c r="C978" s="18"/>
      <c r="D978" s="62"/>
    </row>
    <row r="979" spans="1:4" ht="17.5">
      <c r="A979" s="46"/>
      <c r="C979" s="18"/>
      <c r="D979" s="62"/>
    </row>
    <row r="980" spans="1:4" ht="17.5">
      <c r="A980" s="46"/>
      <c r="C980" s="18"/>
      <c r="D980" s="62"/>
    </row>
    <row r="981" spans="1:4" ht="17.5">
      <c r="A981" s="46"/>
      <c r="C981" s="18"/>
      <c r="D981" s="62"/>
    </row>
    <row r="982" spans="1:4" ht="17.5">
      <c r="A982" s="46"/>
      <c r="C982" s="18"/>
      <c r="D982" s="62"/>
    </row>
    <row r="983" spans="1:4" ht="17.5">
      <c r="A983" s="46"/>
      <c r="C983" s="18"/>
      <c r="D983" s="62"/>
    </row>
    <row r="984" spans="1:4" ht="17.5">
      <c r="A984" s="46"/>
      <c r="C984" s="18"/>
      <c r="D984" s="62"/>
    </row>
    <row r="985" spans="1:4" ht="17.5">
      <c r="A985" s="46"/>
      <c r="C985" s="18"/>
      <c r="D985" s="62"/>
    </row>
    <row r="986" spans="1:4" ht="17.5">
      <c r="A986" s="46"/>
      <c r="C986" s="18"/>
      <c r="D986" s="62"/>
    </row>
    <row r="987" spans="1:4" ht="17.5">
      <c r="A987" s="46"/>
      <c r="C987" s="18"/>
      <c r="D987" s="62"/>
    </row>
    <row r="988" spans="1:4" ht="17.5">
      <c r="A988" s="46"/>
      <c r="C988" s="18"/>
      <c r="D988" s="62"/>
    </row>
    <row r="989" spans="1:4" ht="17.5">
      <c r="A989" s="46"/>
      <c r="C989" s="18"/>
      <c r="D989" s="62"/>
    </row>
    <row r="990" spans="1:4" ht="17.5">
      <c r="A990" s="46"/>
      <c r="C990" s="18"/>
      <c r="D990" s="62"/>
    </row>
    <row r="991" spans="1:4" ht="17.5">
      <c r="A991" s="46"/>
      <c r="C991" s="18"/>
      <c r="D991" s="62"/>
    </row>
    <row r="992" spans="1:4" ht="17.5">
      <c r="A992" s="46"/>
      <c r="C992" s="18"/>
      <c r="D992" s="62"/>
    </row>
    <row r="993" spans="1:4" ht="17.5">
      <c r="A993" s="46"/>
      <c r="C993" s="18"/>
      <c r="D993" s="62"/>
    </row>
    <row r="994" spans="1:4" ht="17.5">
      <c r="A994" s="46"/>
      <c r="C994" s="18"/>
      <c r="D994" s="62"/>
    </row>
    <row r="995" spans="1:4" ht="17.5">
      <c r="A995" s="46"/>
      <c r="C995" s="18"/>
      <c r="D995" s="62"/>
    </row>
    <row r="996" spans="1:4" ht="17.5">
      <c r="A996" s="46"/>
      <c r="C996" s="18"/>
      <c r="D996" s="62"/>
    </row>
    <row r="997" spans="1:4" ht="17.5">
      <c r="A997" s="46"/>
      <c r="C997" s="18"/>
      <c r="D997" s="62"/>
    </row>
    <row r="998" spans="1:4" ht="17.5">
      <c r="A998" s="46"/>
      <c r="C998" s="18"/>
      <c r="D998" s="62"/>
    </row>
    <row r="999" spans="1:4" ht="17.5">
      <c r="A999" s="46"/>
      <c r="C999" s="18"/>
      <c r="D999" s="62"/>
    </row>
    <row r="1000" spans="1:4" ht="17.5">
      <c r="A1000" s="46"/>
      <c r="C1000" s="18"/>
      <c r="D1000" s="62"/>
    </row>
    <row r="1001" spans="1:4" ht="17.5">
      <c r="A1001" s="46"/>
      <c r="C1001" s="18"/>
      <c r="D1001" s="62"/>
    </row>
  </sheetData>
  <hyperlinks>
    <hyperlink ref="E440" r:id="rId1" xr:uid="{2BE4C4AE-2C5F-422B-A89A-819653E9CB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shiny_dex</vt:lpstr>
      <vt:lpstr>pokedex</vt:lpstr>
      <vt:lpstr>googdex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Iaquinta</dc:creator>
  <cp:lastModifiedBy>Antonia Iaquinta</cp:lastModifiedBy>
  <dcterms:created xsi:type="dcterms:W3CDTF">2026-06-10T21:35:27Z</dcterms:created>
  <dcterms:modified xsi:type="dcterms:W3CDTF">2026-06-10T22:56:39Z</dcterms:modified>
</cp:coreProperties>
</file>